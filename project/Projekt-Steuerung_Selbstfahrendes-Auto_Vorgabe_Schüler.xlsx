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Philipp\Documents\GitHub\car\project\"/>
    </mc:Choice>
  </mc:AlternateContent>
  <xr:revisionPtr revIDLastSave="0" documentId="13_ncr:1_{24F76CBB-DC57-4283-BD19-E59724B6B296}" xr6:coauthVersionLast="45" xr6:coauthVersionMax="45" xr10:uidLastSave="{00000000-0000-0000-0000-000000000000}"/>
  <bookViews>
    <workbookView xWindow="-108" yWindow="-108" windowWidth="23256" windowHeight="12576" tabRatio="718" xr2:uid="{00000000-000D-0000-FFFF-FFFF00000000}"/>
  </bookViews>
  <sheets>
    <sheet name="Projektüberblick" sheetId="2" r:id="rId1"/>
    <sheet name="Anforderungen" sheetId="11" r:id="rId2"/>
    <sheet name="Meilensteine" sheetId="9" r:id="rId3"/>
    <sheet name="Bestellliste" sheetId="6" r:id="rId4"/>
    <sheet name="PSP - WBS" sheetId="4" r:id="rId5"/>
    <sheet name="OPL" sheetId="1" r:id="rId6"/>
    <sheet name="Risiken" sheetId="3" r:id="rId7"/>
    <sheet name="Stakeholder - Kommunikation" sheetId="5" r:id="rId8"/>
    <sheet name="Arbeitstagebuch_Thomas" sheetId="8" r:id="rId9"/>
    <sheet name="_Template" sheetId="12" r:id="rId10"/>
  </sheets>
  <externalReferences>
    <externalReference r:id="rId11"/>
  </externalReferences>
  <definedNames>
    <definedName name="_xlnm._FilterDatabase" localSheetId="4" hidden="1">'PSP - WBS'!$A$3:$I$9</definedName>
    <definedName name="_ftn1" localSheetId="4">'PSP - WBS'!#REF!</definedName>
    <definedName name="_ftnref1" localSheetId="4">'PSP - WBS'!$C$3</definedName>
    <definedName name="Arbeitspaket">[1]Stammdaten!$A$9:$A$10</definedName>
    <definedName name="Personen">[1]Stammdaten!$A$27:$A$28</definedName>
    <definedName name="Prio">[1]Stammdaten!$A$16:$A$18</definedName>
    <definedName name="Status">[1]Stammdaten!$A$21:$A$24</definedName>
    <definedName name="Text11" localSheetId="4">'PSP - WBS'!$C$12</definedName>
    <definedName name="Text12" localSheetId="4">'PSP - WBS'!$B$12</definedName>
    <definedName name="Text13" localSheetId="4">'PSP - WBS'!$B$22</definedName>
    <definedName name="Themen">[1]Stammdaten!$A$13:$A$13</definedName>
    <definedName name="Typ">[1]Stammdaten!$A$4:$A$6</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7" i="4" l="1"/>
  <c r="E37" i="4"/>
  <c r="D37" i="4"/>
  <c r="A29" i="1" l="1"/>
  <c r="A30" i="1"/>
  <c r="A31" i="1"/>
  <c r="A32" i="1"/>
  <c r="A33" i="1"/>
  <c r="A8" i="1"/>
  <c r="A9" i="1"/>
  <c r="A10" i="1"/>
  <c r="A11" i="1"/>
  <c r="A12" i="1"/>
  <c r="A13" i="1"/>
  <c r="A14" i="1"/>
  <c r="A15" i="1"/>
  <c r="A16" i="1"/>
  <c r="A17" i="1"/>
  <c r="A18" i="1"/>
  <c r="A19" i="1"/>
  <c r="A20" i="1"/>
  <c r="A21" i="1"/>
  <c r="A22" i="1"/>
  <c r="A23" i="1"/>
  <c r="A24" i="1"/>
  <c r="A25" i="1"/>
  <c r="A26" i="1"/>
  <c r="A27" i="1"/>
  <c r="A28" i="1"/>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4" i="3"/>
  <c r="D21" i="6"/>
  <c r="A7" i="1" l="1"/>
  <c r="A6" i="1"/>
  <c r="A5"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Philipp</author>
  </authors>
  <commentList>
    <comment ref="C3" authorId="0" shapeId="0" xr:uid="{00000000-0006-0000-0000-000001000000}">
      <text>
        <r>
          <rPr>
            <b/>
            <sz val="9"/>
            <color indexed="81"/>
            <rFont val="Segoe UI"/>
            <family val="2"/>
          </rPr>
          <t>Siehe Tab "Bestellliste"</t>
        </r>
      </text>
    </comment>
    <comment ref="E3" authorId="0" shapeId="0" xr:uid="{00000000-0006-0000-0000-000002000000}">
      <text>
        <r>
          <rPr>
            <b/>
            <sz val="9"/>
            <color indexed="81"/>
            <rFont val="Segoe UI"/>
            <family val="2"/>
          </rPr>
          <t>Datum und Unterschrift vom Sponsor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Philipp</author>
  </authors>
  <commentList>
    <comment ref="D8" authorId="0" shapeId="0" xr:uid="{00000000-0006-0000-0100-000001000000}">
      <text>
        <r>
          <rPr>
            <b/>
            <sz val="9"/>
            <color indexed="81"/>
            <rFont val="Segoe UI"/>
            <family val="2"/>
          </rPr>
          <t>Test erfolgreich = Anforderung erfüllt?
Ja/Nein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Philipp</author>
  </authors>
  <commentList>
    <comment ref="D3" authorId="0" shapeId="0" xr:uid="{37824603-8275-41AF-BB14-4EC8E818EA13}">
      <text>
        <r>
          <rPr>
            <b/>
            <sz val="9"/>
            <color indexed="81"/>
            <rFont val="Segoe UI"/>
            <charset val="1"/>
          </rPr>
          <t>Nur einmal am Anfang schätzen, dann in Spalte E + F laufend aktualisieren.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Philipp</author>
  </authors>
  <commentList>
    <comment ref="D3" authorId="0" shapeId="0" xr:uid="{986FEC24-12AC-4216-8AF0-48B85996E1CD}">
      <text>
        <r>
          <rPr>
            <b/>
            <sz val="9"/>
            <color indexed="81"/>
            <rFont val="Segoe UI"/>
            <family val="2"/>
          </rPr>
          <t>Punkt angelegt am ...</t>
        </r>
      </text>
    </comment>
    <comment ref="I3" authorId="0" shapeId="0" xr:uid="{D3173CD4-A53B-4D28-BA82-D984BC2B9327}">
      <text>
        <r>
          <rPr>
            <b/>
            <sz val="9"/>
            <color indexed="81"/>
            <rFont val="Segoe UI"/>
            <family val="2"/>
          </rPr>
          <t>Zu erledigen bis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Philipp</author>
  </authors>
  <commentList>
    <comment ref="B3" authorId="0" shapeId="0" xr:uid="{00000000-0006-0000-0600-000001000000}">
      <text>
        <r>
          <rPr>
            <b/>
            <sz val="9"/>
            <color indexed="81"/>
            <rFont val="Segoe UI"/>
            <family val="2"/>
          </rPr>
          <t>Wichtig ist immer was die Auswirkung ist? Z.B. höhere Kosten, Zeitverzug, Qualitätseinbuße, schlechte Note, …
Ausfall eines Teammitglieds ist in diesem Sinne kein Risiko...</t>
        </r>
      </text>
    </comment>
    <comment ref="C3" authorId="0" shapeId="0" xr:uid="{00000000-0006-0000-0600-000002000000}">
      <text>
        <r>
          <rPr>
            <b/>
            <u/>
            <sz val="9"/>
            <color indexed="81"/>
            <rFont val="Segoe UI"/>
            <family val="2"/>
          </rPr>
          <t>Auftretenswahrscheinlichkeit - wie wahrscheinlich ist es, dass das Risiko eintritt:</t>
        </r>
        <r>
          <rPr>
            <b/>
            <sz val="9"/>
            <color indexed="81"/>
            <rFont val="Segoe UI"/>
            <family val="2"/>
          </rPr>
          <t xml:space="preserve">
</t>
        </r>
        <r>
          <rPr>
            <sz val="9"/>
            <color indexed="81"/>
            <rFont val="Segoe UI"/>
            <family val="2"/>
          </rPr>
          <t>1: sehr unwahrscheinlich (~0%)
2: unwahrscheinlich (&lt;50%)
3: ~50%
4: wahrscheinlich (&gt;50%)
5: sehr wahrscheinlich (~100%)</t>
        </r>
      </text>
    </comment>
    <comment ref="D3" authorId="0" shapeId="0" xr:uid="{00000000-0006-0000-0600-000003000000}">
      <text>
        <r>
          <rPr>
            <b/>
            <u/>
            <sz val="9"/>
            <color indexed="81"/>
            <rFont val="Segoe UI"/>
            <family val="2"/>
          </rPr>
          <t>Gewichtung - Auswirkung auf den Projekterfolg</t>
        </r>
        <r>
          <rPr>
            <b/>
            <sz val="9"/>
            <color indexed="81"/>
            <rFont val="Segoe UI"/>
            <family val="2"/>
          </rPr>
          <t xml:space="preserve">
</t>
        </r>
        <r>
          <rPr>
            <sz val="9"/>
            <color indexed="81"/>
            <rFont val="Segoe UI"/>
            <family val="2"/>
          </rPr>
          <t>1: Sehr gering - das Risiko hat so gut wie keinen Einfluss auf den Projekterfolg
2: Gering
3: Mittel
4: Hoch
5: Kritisch - das Risiko kann das Projekt zum Kippen bringen</t>
        </r>
      </text>
    </comment>
    <comment ref="E3" authorId="0" shapeId="0" xr:uid="{00000000-0006-0000-0600-000004000000}">
      <text>
        <r>
          <rPr>
            <b/>
            <u/>
            <sz val="9"/>
            <color indexed="81"/>
            <rFont val="Segoe UI"/>
            <family val="2"/>
          </rPr>
          <t>Risiko-Kennzahl</t>
        </r>
        <r>
          <rPr>
            <b/>
            <sz val="9"/>
            <color indexed="81"/>
            <rFont val="Segoe UI"/>
            <family val="2"/>
          </rPr>
          <t xml:space="preserve">
</t>
        </r>
        <r>
          <rPr>
            <sz val="9"/>
            <color indexed="81"/>
            <rFont val="Segoe UI"/>
            <family val="2"/>
          </rPr>
          <t>RKZ = A * G
RKZ &gt; 9 benötigt eine Gegenmaßnahme und muss verfolgt werden</t>
        </r>
      </text>
    </comment>
    <comment ref="F3" authorId="0" shapeId="0" xr:uid="{00000000-0006-0000-0600-000005000000}">
      <text>
        <r>
          <rPr>
            <b/>
            <sz val="9"/>
            <color indexed="81"/>
            <rFont val="Segoe UI"/>
            <family val="2"/>
          </rPr>
          <t>verändert sich das Risiko bzw. die RKZ im Verlauf des Projekts?</t>
        </r>
      </text>
    </comment>
  </commentList>
</comments>
</file>

<file path=xl/sharedStrings.xml><?xml version="1.0" encoding="utf-8"?>
<sst xmlns="http://schemas.openxmlformats.org/spreadsheetml/2006/main" count="253" uniqueCount="203">
  <si>
    <t>OPL - Offene Punkte Liste</t>
  </si>
  <si>
    <t>Typ</t>
  </si>
  <si>
    <t>Initiator</t>
  </si>
  <si>
    <t>Datum</t>
  </si>
  <si>
    <t>Thema + Beschreibung</t>
  </si>
  <si>
    <t>Prio</t>
  </si>
  <si>
    <t>Status</t>
  </si>
  <si>
    <t>Verantwortlicher</t>
  </si>
  <si>
    <t>Termin</t>
  </si>
  <si>
    <t>Bemerkungen/Status/Ergebnisse</t>
  </si>
  <si>
    <t>Projektmeeting</t>
  </si>
  <si>
    <t>A</t>
  </si>
  <si>
    <t>High</t>
  </si>
  <si>
    <t>open</t>
  </si>
  <si>
    <t>closed</t>
  </si>
  <si>
    <t>I</t>
  </si>
  <si>
    <t>Jahn</t>
  </si>
  <si>
    <t>Low</t>
  </si>
  <si>
    <t>I … Information</t>
  </si>
  <si>
    <t>new</t>
  </si>
  <si>
    <t>A … Action</t>
  </si>
  <si>
    <t>Medium</t>
  </si>
  <si>
    <t>D … Decision</t>
  </si>
  <si>
    <t>cancelled</t>
  </si>
  <si>
    <t>Projektleiter</t>
  </si>
  <si>
    <t>Projekt Struktur Plan - Work Breakdown Structure</t>
  </si>
  <si>
    <t>Fertigstellung (Soll)</t>
  </si>
  <si>
    <t>Fertigstellung (Ist)</t>
  </si>
  <si>
    <t>Risikoanalyse</t>
  </si>
  <si>
    <t>Kosten</t>
  </si>
  <si>
    <t>Produkt</t>
  </si>
  <si>
    <t>Webseite/Firmen</t>
  </si>
  <si>
    <t>Stückzahl</t>
  </si>
  <si>
    <t>Bestell Nr.</t>
  </si>
  <si>
    <t>Summe</t>
  </si>
  <si>
    <t>ID</t>
  </si>
  <si>
    <t>G</t>
  </si>
  <si>
    <t>RKZ</t>
  </si>
  <si>
    <t>Tendenz</t>
  </si>
  <si>
    <t>Beschreibung des Risikos</t>
  </si>
  <si>
    <t>Gegenmaßnahmen / Kommentare</t>
  </si>
  <si>
    <t>erledigt</t>
  </si>
  <si>
    <t>Zeitverzug aufgrund Ausfall eines Teammitglied für mehrere Wochen</t>
  </si>
  <si>
    <t>Scheitern des Projekts aufgrund "einer macht alles die anderen schauen zu"</t>
  </si>
  <si>
    <t>Wöchentliche Projektmeetings mit Statusbericht und -verfolgung</t>
  </si>
  <si>
    <t>Lieferschwierigkeiten?</t>
  </si>
  <si>
    <t>…</t>
  </si>
  <si>
    <t>Verantwortlich</t>
  </si>
  <si>
    <t>Teilaufgabe (TA) / Arbeitspaket (AP)</t>
  </si>
  <si>
    <t>negativ</t>
  </si>
  <si>
    <t>positiv</t>
  </si>
  <si>
    <t>Einfluss</t>
  </si>
  <si>
    <t>Interesse</t>
  </si>
  <si>
    <t>hoch</t>
  </si>
  <si>
    <t>niedrig</t>
  </si>
  <si>
    <t>informieren -&gt; einbeziehen</t>
  </si>
  <si>
    <t>überzeugen, viel reden und Zeit investieren</t>
  </si>
  <si>
    <t>informieren</t>
  </si>
  <si>
    <t>einbeziehen</t>
  </si>
  <si>
    <t>Projektteam</t>
  </si>
  <si>
    <t>Projektstart:</t>
  </si>
  <si>
    <t>Projektende:</t>
  </si>
  <si>
    <t>Verfügbar</t>
  </si>
  <si>
    <t>Schwerpunkte</t>
  </si>
  <si>
    <t>Budgetrahmen:</t>
  </si>
  <si>
    <t>Name</t>
  </si>
  <si>
    <t>Kontakt</t>
  </si>
  <si>
    <t>Source-Code</t>
  </si>
  <si>
    <t>Dokumentation</t>
  </si>
  <si>
    <t>Ablagen</t>
  </si>
  <si>
    <t>Arbeitstagebuch</t>
  </si>
  <si>
    <t>Tag</t>
  </si>
  <si>
    <t>Aufgabe / Thema</t>
  </si>
  <si>
    <t>Dauer [h]</t>
  </si>
  <si>
    <t>Meilensteine</t>
  </si>
  <si>
    <t>Zielzustand</t>
  </si>
  <si>
    <t>Soll</t>
  </si>
  <si>
    <t>Ist</t>
  </si>
  <si>
    <t>Bestellungen abgeschlossen</t>
  </si>
  <si>
    <t>Sponsor:</t>
  </si>
  <si>
    <t>Nicht-Ziele (Abgrenzung wo nötig)</t>
  </si>
  <si>
    <t>Motivation und kurze Beschreibung (Warum das Projekt?)</t>
  </si>
  <si>
    <t>Ziele - Was soll mit dem Projekt erreicht werden?</t>
  </si>
  <si>
    <t>Bestellliste</t>
  </si>
  <si>
    <t>________________________________</t>
  </si>
  <si>
    <t>Genehmigt? Datum + Unterschrift:</t>
  </si>
  <si>
    <t>Anforderung</t>
  </si>
  <si>
    <t>Anforderungen</t>
  </si>
  <si>
    <r>
      <t xml:space="preserve">Anforderungen beschreiben was das Produkt können muss um die Ziele (siehe Projektüberblick) zu erreichen. Die Anforderungen müssen dabei </t>
    </r>
    <r>
      <rPr>
        <b/>
        <sz val="11"/>
        <color theme="1"/>
        <rFont val="Calibri"/>
        <family val="2"/>
        <scheme val="minor"/>
      </rPr>
      <t>verständlich, vollständig, korrekt, konsistent und testbar</t>
    </r>
    <r>
      <rPr>
        <sz val="11"/>
        <color theme="1"/>
        <rFont val="Calibri"/>
        <family val="2"/>
        <scheme val="minor"/>
      </rPr>
      <t xml:space="preserve"> sein.</t>
    </r>
  </si>
  <si>
    <t>Auch nicht-funktionale Anforderungen wie z.B. Usability, Performance, Zuverlässigkeit, Rahmenbedingungen soll spezifiziert werden.
-) Das Produkt soll mit einem Arduino umgesetzt werden.
-) Das System soll jede Anfrage eines Benutzer innerhalb von 0,5 Sekunden ausführen.</t>
  </si>
  <si>
    <r>
      <t xml:space="preserve">Der Aufbau einer Anforderung ist immer wie folgt:
&lt;WER&gt; </t>
    </r>
    <r>
      <rPr>
        <b/>
        <sz val="11"/>
        <color theme="1"/>
        <rFont val="Calibri"/>
        <family val="2"/>
        <scheme val="minor"/>
      </rPr>
      <t xml:space="preserve">soll/kann (nicht) </t>
    </r>
    <r>
      <rPr>
        <sz val="11"/>
        <color theme="1"/>
        <rFont val="Calibri"/>
        <family val="2"/>
        <scheme val="minor"/>
      </rPr>
      <t>&lt;WAS&gt; (&lt;WENN&gt;)
-) Das System soll einem Benutzer den Überblick über die Lagerstände alles Artikel geben.
-) Das System soll unterschiedliche Benutzerrechte vergeben können: Administrator, Benutzer.
-) Der Ladezustand des Controller soll mindestens 2 Tage lang halten, wenn dieser voll aufgeladen war.</t>
    </r>
  </si>
  <si>
    <t>Wie wird getestet?</t>
  </si>
  <si>
    <t>Check?</t>
  </si>
  <si>
    <t>Name / Personengruppe</t>
  </si>
  <si>
    <t>Abteilungsvorstand</t>
  </si>
  <si>
    <t>Teamteilnehmer 1</t>
  </si>
  <si>
    <t>Teamteilnehmer 2</t>
  </si>
  <si>
    <t>Projektarbeitsbetreuer</t>
  </si>
  <si>
    <t>Finale Abgabe des funktionierenden Produkts und Dokumentation</t>
  </si>
  <si>
    <t>Stakeholderanalyse + Kommunikationsstrategie</t>
  </si>
  <si>
    <t>Wer kommt mit dem Projekt in Berührung? Wie steht er dazu? Wie kommuniziere ich mit wem, wie oft, warum?</t>
  </si>
  <si>
    <t>Einstellung zum Projekt</t>
  </si>
  <si>
    <t>sehr positiv</t>
  </si>
  <si>
    <t>neutral</t>
  </si>
  <si>
    <t>eher positiv</t>
  </si>
  <si>
    <t>sehr hoch</t>
  </si>
  <si>
    <t>eher niedrig</t>
  </si>
  <si>
    <t>Visualisierung aus: https://www.agile-master.de/stakeholderanalyse-projektmanagement/</t>
  </si>
  <si>
    <t>Macht / Einfluss</t>
  </si>
  <si>
    <t>Interesse (farblich markiert)</t>
  </si>
  <si>
    <t>Kommunikationsstratgie</t>
  </si>
  <si>
    <t>Kommunikationsstrategie</t>
  </si>
  <si>
    <t>2 wöchentliche Meetings, Montags für 20 Minuten</t>
  </si>
  <si>
    <t>Team</t>
  </si>
  <si>
    <t>Firmenanspechpartner (z.B. Uni)</t>
  </si>
  <si>
    <t>Partnerfirma</t>
  </si>
  <si>
    <t>bekommen 1x pro Woche einen Projektbericht und update per Email, monatliche Treffen vor Ort mit Demo</t>
  </si>
  <si>
    <t>wöchentlicher Abgleich montags nach dem Unterricht; gemeinsame Arbeitszeit, Dienstag 15-18 Uhr</t>
  </si>
  <si>
    <t>Einstellung</t>
  </si>
  <si>
    <t>immer wieder überprüfen</t>
  </si>
  <si>
    <t>-</t>
  </si>
  <si>
    <t>Maßnahme</t>
  </si>
  <si>
    <t>Template</t>
  </si>
  <si>
    <t>Kommentare</t>
  </si>
  <si>
    <t>Version 2</t>
  </si>
  <si>
    <t>Version 1</t>
  </si>
  <si>
    <t>Erster Versuch</t>
  </si>
  <si>
    <t>Geringfügig erweitert und Erklärungen eingebaut</t>
  </si>
  <si>
    <t>Abschlusspräsentation</t>
  </si>
  <si>
    <r>
      <rPr>
        <b/>
        <sz val="11"/>
        <color theme="1"/>
        <rFont val="Calibri"/>
        <family val="2"/>
        <scheme val="minor"/>
      </rPr>
      <t>Grobe</t>
    </r>
    <r>
      <rPr>
        <sz val="11"/>
        <color theme="1"/>
        <rFont val="Calibri"/>
        <family val="2"/>
        <scheme val="minor"/>
      </rPr>
      <t xml:space="preserve"> Übersicht wann welche Teilaufgaben </t>
    </r>
    <r>
      <rPr>
        <b/>
        <sz val="11"/>
        <color theme="1"/>
        <rFont val="Calibri"/>
        <family val="2"/>
        <scheme val="minor"/>
      </rPr>
      <t xml:space="preserve">abgeschlossen </t>
    </r>
    <r>
      <rPr>
        <sz val="11"/>
        <color theme="1"/>
        <rFont val="Calibri"/>
        <family val="2"/>
        <scheme val="minor"/>
      </rPr>
      <t>sein sollen.</t>
    </r>
  </si>
  <si>
    <r>
      <t xml:space="preserve">Es soll der </t>
    </r>
    <r>
      <rPr>
        <b/>
        <sz val="11"/>
        <color theme="1"/>
        <rFont val="Calibri"/>
        <family val="2"/>
        <scheme val="minor"/>
      </rPr>
      <t>Zielzustand</t>
    </r>
    <r>
      <rPr>
        <sz val="11"/>
        <color theme="1"/>
        <rFont val="Calibri"/>
        <family val="2"/>
        <scheme val="minor"/>
      </rPr>
      <t xml:space="preserve"> beschrieben werden und </t>
    </r>
    <r>
      <rPr>
        <b/>
        <sz val="11"/>
        <color theme="1"/>
        <rFont val="Calibri"/>
        <family val="2"/>
        <scheme val="minor"/>
      </rPr>
      <t>keine Aufgabe</t>
    </r>
    <r>
      <rPr>
        <sz val="11"/>
        <color theme="1"/>
        <rFont val="Calibri"/>
        <family val="2"/>
        <scheme val="minor"/>
      </rPr>
      <t xml:space="preserve">. Z.B.:
</t>
    </r>
    <r>
      <rPr>
        <strike/>
        <sz val="11"/>
        <color theme="1"/>
        <rFont val="Calibri"/>
        <family val="2"/>
        <scheme val="minor"/>
      </rPr>
      <t>Prototyp zusammenbauen</t>
    </r>
    <r>
      <rPr>
        <sz val="11"/>
        <color theme="1"/>
        <rFont val="Calibri"/>
        <family val="2"/>
        <scheme val="minor"/>
      </rPr>
      <t xml:space="preserve"> -&gt;  Erster Protoyp funktionsfähig
</t>
    </r>
    <r>
      <rPr>
        <strike/>
        <sz val="11"/>
        <color theme="1"/>
        <rFont val="Calibri"/>
        <family val="2"/>
        <scheme val="minor"/>
      </rPr>
      <t>Dokumentation schreiben</t>
    </r>
    <r>
      <rPr>
        <sz val="11"/>
        <color theme="1"/>
        <rFont val="Calibri"/>
        <family val="2"/>
        <scheme val="minor"/>
      </rPr>
      <t xml:space="preserve"> -&gt; Erstentwurf der Dokumentation abgegeben</t>
    </r>
  </si>
  <si>
    <t>Projekt: Selbstfahrendes Auto</t>
  </si>
  <si>
    <t>50,-</t>
  </si>
  <si>
    <t>Projektsteuerung</t>
  </si>
  <si>
    <t>Rercherche</t>
  </si>
  <si>
    <t>Autonomes Fahren ist eine Frage der Zeit, bis es ganz natürlicher Bestandteil unseres unseren Alltag sein wird. Mit einem kleinen Modell möchte ich Erkenntnisse gewinnen, wie komplex diese Sache werden kann.</t>
  </si>
  <si>
    <t>Autonome Fertigkeiten sollen erlernt werden (unterschiedliche Strategien um autonom Fahren zu können).</t>
  </si>
  <si>
    <t>Es geht nicht um die Optimierung der Motorenansteuerung und das Design des Fahrzeugs.</t>
  </si>
  <si>
    <t>Optimieren der Algorithmen in Bezug auf Autonomes Fahren.</t>
  </si>
  <si>
    <t xml:space="preserve"> </t>
  </si>
  <si>
    <t>Fahrzeug zusammen gebaut und fährt in eine Richtung.</t>
  </si>
  <si>
    <t>Erster autonomer Prototyp funktionsfähig (Seitensteuerung).</t>
  </si>
  <si>
    <t>Zweiter autonomer Prototyp funktionsfähig (Mittensteuerung).</t>
  </si>
  <si>
    <t>https://www.banggood.com/de/4WD-DIY-Smart-Chassis-Car-Kit-For-Arduino-with-UNO-R3-Ultrasonic-ModuleMotor-drive-board-p-1332912.html?akmClientCountry=AT&amp;rmmds=detail-left-hotproducts__4&amp;cur_warehouse=CN</t>
  </si>
  <si>
    <t>4WD DIY Smart Chassis Auto Satz Für Arduino mit UNO R3 + Ultraschallmodul + Motorantrieb Board / 3-6V TT Motor</t>
  </si>
  <si>
    <t>Gegeneinander antreten und schauen wer der schnellste ist.</t>
  </si>
  <si>
    <t>Das Fahrzeug darf nicht ferngesteuert werden sondern muss vollständig autonom fahren.</t>
  </si>
  <si>
    <t>Überprüfen ob Funkmodule verbaut sind.</t>
  </si>
  <si>
    <t>Optische Überprüfung.</t>
  </si>
  <si>
    <t>Erste Schätzung [h]</t>
  </si>
  <si>
    <t>Verkabelung der Hardwarekomponenten (Antrieb) mit dem Arduino</t>
  </si>
  <si>
    <t>Aufbau Sensorik</t>
  </si>
  <si>
    <t>Aufbau Antrieb</t>
  </si>
  <si>
    <t>Auswahl der Sensoren (4x Infrarot, 1x Ultraschall bereits vorhanden)</t>
  </si>
  <si>
    <t>Verkabelung + Positionierung der Sensoren</t>
  </si>
  <si>
    <t>Inbetriebnahme weiterer Sensoren</t>
  </si>
  <si>
    <t>Software Algorithmen</t>
  </si>
  <si>
    <t>Debugmöglichkeit überlegen (Bluetooth, LCD-Display, …)</t>
  </si>
  <si>
    <t>Inbetriebnahme Debugmöglichkeit</t>
  </si>
  <si>
    <t>SW-Konzept überlegen (Seitenregelung, Mittenregelung)</t>
  </si>
  <si>
    <t>Implementierung Mittenregelung (inkl. Konfigurationsmöglichkeiten)</t>
  </si>
  <si>
    <t>Implementierung Seitenregelung (inkl. Konfigurationsmöglichkeiten)</t>
  </si>
  <si>
    <t>Konzept für Drehzahlmessung pro Motor überlegen</t>
  </si>
  <si>
    <t>Implementierung Drehzahlmessung</t>
  </si>
  <si>
    <t>Projektorganisation</t>
  </si>
  <si>
    <t>Planungsaktivitäten laufend</t>
  </si>
  <si>
    <t>Aufsetzen Git Repository</t>
  </si>
  <si>
    <t>Kommentar</t>
  </si>
  <si>
    <t>Fahrzeug zusammenbauen</t>
  </si>
  <si>
    <t>Bereits investiert [h]</t>
  </si>
  <si>
    <t>Geschätzt Verbleibend [h]</t>
  </si>
  <si>
    <t>Bestellung und Auswahl 4WD-Car-Kits</t>
  </si>
  <si>
    <t>Sonstige Bestellungen (Akkus, Schalter, Ladeschaltung)</t>
  </si>
  <si>
    <t>erst nach Erhalt der Kits festgestellt, dass weitere Komponenten benötigt werden</t>
  </si>
  <si>
    <t>Bestllung aus China hat länger gedauert!</t>
  </si>
  <si>
    <t>Das Fahrzeug soll ansteuerungsmäßig nicht vom 4WD DIY Smart Chassis Auto abweichen bzw. erweitert werden (4 Motoren, 4 Kodierscheiben, 1 Motortreiber Platine, 2x Batteriefächer sind ausreichend).</t>
  </si>
  <si>
    <t>Freiheiten zur individuellen Optimierung</t>
  </si>
  <si>
    <t>Das Fahrzeug soll mittels 4 Infrarotsensoren und 1 Ultraschalsensor die Umgebung ausreichend erfassen können um autonom steuern zu können.</t>
  </si>
  <si>
    <t>Das Fahrzeug darf beliebig mit Aktuatoren und Ausgabemöglichkeiten (z.B. Funkverbindung zum Erfassen von Testdaten, LCD-Ausgabe) erweitert werden.</t>
  </si>
  <si>
    <t>Das Fahrzeug darf beliebig mit Sensoren (z.B. Video-Kamera) erweitert werden.</t>
  </si>
  <si>
    <t>Je nach Ausgabemöglichkeit Testkonzept überlegen</t>
  </si>
  <si>
    <t>Je nach Sensoren Testkonzept überlegen</t>
  </si>
  <si>
    <t>Optische Überprüfung + Codereview + Testausgaben zur Plausibilisierung.
Für Inrarotsensoren: Stabilität überprüfen ob bei etwa der gleichen Entfernung der Sensor je nach Konfiguration (Poti) anspricht
Für Ultraschallsensor: Ausgabe der Entfernung in Zentimetern - nachmessen</t>
  </si>
  <si>
    <t>https://www.neuhold-elektronik.at/catshop/product_info.php?cPath=36_230&amp;products_id=7117</t>
  </si>
  <si>
    <t>Ladeschaltung für Li-Ion Akku</t>
  </si>
  <si>
    <t>Li-Ion Akkus</t>
  </si>
  <si>
    <t>Kippschalter</t>
  </si>
  <si>
    <t>Kleinteile (Muttern + Schrauben)</t>
  </si>
  <si>
    <t>x</t>
  </si>
  <si>
    <t>in Schule vorhanden</t>
  </si>
  <si>
    <t>Inbetriebnahme mit erstem Dummy Test (gerade aus fahren mittels Pin auf High/Low)</t>
  </si>
  <si>
    <t>Dummy Ansteuerung mittels PWM</t>
  </si>
  <si>
    <t>Zweiter Servo</t>
  </si>
  <si>
    <t>Inbetriebnahme der Infrarotsensoren (inkl. sauberem leicht verwendbarem Interface zur Auswertung)</t>
  </si>
  <si>
    <t>Inbetriebnahme des Ultraschallsensors (inkl. sauberem leicht verwendbarem Interface zur Auswertung)</t>
  </si>
  <si>
    <t>Konzept + Inbetriebnahme der Servo-Ansteuerung (inkl. sauberem leicht verwendbarem Interface zur Positionierung)</t>
  </si>
  <si>
    <t>Akkus und Schalter sowie Ladeschaltung bestellen</t>
  </si>
  <si>
    <t>Bestellungen eingetroffen</t>
  </si>
  <si>
    <t>Zu wenige Akkus geliefert bekommen, Poele bestellt nach</t>
  </si>
  <si>
    <t>Projekt-Template auf Moodle raufladen</t>
  </si>
  <si>
    <t>Dokumentationsvorlage herzeigen</t>
  </si>
  <si>
    <t>Planung aktualisiert</t>
  </si>
  <si>
    <t>Das Fahrzeug soll einen vorgegebenen Parcour (mit beliebigen 90 Grad rechts und links Kurven) mit 20cm hohen Seitenwänden so schnell wie möglich absolvieren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</si>
</sst>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_-[$€-C07]\ * #,##0.00_-;\-[$€-C07]\ * #,##0.00_-;_-[$€-C07]\ * &quot;-&quot;??_-;_-@_-"/>
    <numFmt numFmtId="166" formatCode="0\-0"/>
  </numFmts>
  <fonts count="15" x14ac:knownFonts="1">
    <font>
      <sz val="11"/>
      <color theme="1"/>
      <name val="Calibri"/>
      <family val="2"/>
      <scheme val="minor"/>
    </font>
    <font>
      <b/>
      <sz val="16"/>
      <color theme="1"/>
      <name val="Calibri"/>
      <family val="2"/>
      <scheme val="minor"/>
    </font>
    <font>
      <u/>
      <sz val="11"/>
      <color theme="10"/>
      <name val="Calibri"/>
      <family val="2"/>
    </font>
    <font>
      <sz val="11"/>
      <color theme="1"/>
      <name val="Calibri"/>
      <family val="2"/>
      <scheme val="minor"/>
    </font>
    <font>
      <b/>
      <sz val="11"/>
      <color theme="1"/>
      <name val="Calibri"/>
      <family val="2"/>
      <scheme val="minor"/>
    </font>
    <font>
      <sz val="10"/>
      <color theme="1"/>
      <name val="Arial"/>
      <family val="2"/>
    </font>
    <font>
      <b/>
      <sz val="10"/>
      <color theme="1"/>
      <name val="Arial"/>
      <family val="2"/>
    </font>
    <font>
      <b/>
      <sz val="18"/>
      <color theme="1"/>
      <name val="Calibri"/>
      <family val="2"/>
      <scheme val="minor"/>
    </font>
    <font>
      <sz val="9"/>
      <color indexed="81"/>
      <name val="Segoe UI"/>
      <family val="2"/>
    </font>
    <font>
      <b/>
      <sz val="9"/>
      <color indexed="81"/>
      <name val="Segoe UI"/>
      <family val="2"/>
    </font>
    <font>
      <b/>
      <u/>
      <sz val="9"/>
      <color indexed="81"/>
      <name val="Segoe UI"/>
      <family val="2"/>
    </font>
    <font>
      <b/>
      <sz val="10"/>
      <name val="Arial"/>
      <family val="2"/>
    </font>
    <font>
      <strike/>
      <sz val="11"/>
      <color theme="1"/>
      <name val="Calibri"/>
      <family val="2"/>
      <scheme val="minor"/>
    </font>
    <font>
      <b/>
      <sz val="9"/>
      <color indexed="81"/>
      <name val="Segoe UI"/>
      <charset val="1"/>
    </font>
    <font>
      <strike/>
      <sz val="10"/>
      <color theme="1"/>
      <name val="Arial"/>
      <family val="2"/>
    </font>
  </fonts>
  <fills count="4">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s>
  <borders count="2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alignment vertical="top"/>
      <protection locked="0"/>
    </xf>
    <xf numFmtId="9" fontId="3" fillId="0" borderId="0" applyFont="0" applyFill="0" applyBorder="0" applyAlignment="0" applyProtection="0"/>
  </cellStyleXfs>
  <cellXfs count="170">
    <xf numFmtId="0" fontId="0" fillId="0" borderId="0" xfId="0"/>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0" xfId="0" applyFont="1"/>
    <xf numFmtId="0" fontId="0" fillId="0" borderId="0" xfId="0" applyAlignment="1">
      <alignment vertical="center" wrapText="1"/>
    </xf>
    <xf numFmtId="0" fontId="4" fillId="0" borderId="0" xfId="0" applyFont="1" applyAlignment="1">
      <alignment vertical="center" wrapText="1"/>
    </xf>
    <xf numFmtId="165" fontId="4" fillId="0" borderId="0" xfId="0" applyNumberFormat="1" applyFont="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horizontal="center" vertical="center" wrapText="1"/>
    </xf>
    <xf numFmtId="166" fontId="6" fillId="0" borderId="5" xfId="0" applyNumberFormat="1" applyFont="1" applyBorder="1" applyAlignment="1">
      <alignment horizontal="center" vertical="center" wrapText="1"/>
    </xf>
    <xf numFmtId="0" fontId="6" fillId="0" borderId="6" xfId="0" applyFont="1" applyBorder="1" applyAlignment="1">
      <alignment horizontal="center" vertical="center" wrapText="1"/>
    </xf>
    <xf numFmtId="166" fontId="5" fillId="0" borderId="7" xfId="0" applyNumberFormat="1" applyFont="1" applyBorder="1" applyAlignment="1">
      <alignment horizontal="center" vertical="center" wrapText="1"/>
    </xf>
    <xf numFmtId="0" fontId="5" fillId="0" borderId="8" xfId="0" applyFont="1" applyBorder="1" applyAlignment="1">
      <alignment vertical="center" wrapText="1"/>
    </xf>
    <xf numFmtId="0" fontId="5" fillId="0" borderId="8" xfId="0" applyFont="1" applyBorder="1" applyAlignment="1">
      <alignment horizontal="center" vertical="center" wrapText="1"/>
    </xf>
    <xf numFmtId="166" fontId="6" fillId="0" borderId="7" xfId="0" applyNumberFormat="1" applyFont="1" applyBorder="1" applyAlignment="1">
      <alignment horizontal="center" vertical="center" wrapText="1"/>
    </xf>
    <xf numFmtId="0" fontId="6" fillId="0" borderId="8" xfId="0" applyFont="1" applyBorder="1" applyAlignment="1">
      <alignment vertical="center" wrapText="1"/>
    </xf>
    <xf numFmtId="166" fontId="5" fillId="0" borderId="9" xfId="0" applyNumberFormat="1" applyFont="1" applyBorder="1" applyAlignment="1">
      <alignment horizontal="center" vertical="center" wrapText="1"/>
    </xf>
    <xf numFmtId="0" fontId="5" fillId="0" borderId="10" xfId="0" applyFont="1" applyBorder="1" applyAlignment="1">
      <alignment vertical="center" wrapText="1"/>
    </xf>
    <xf numFmtId="0" fontId="5" fillId="0" borderId="10" xfId="0" applyFont="1"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vertical="center" wrapText="1"/>
    </xf>
    <xf numFmtId="165" fontId="0" fillId="0" borderId="7" xfId="0" applyNumberFormat="1" applyBorder="1" applyAlignment="1">
      <alignment vertical="center" wrapText="1"/>
    </xf>
    <xf numFmtId="0" fontId="2" fillId="0" borderId="7" xfId="1" applyBorder="1" applyAlignment="1" applyProtection="1">
      <alignment vertical="center" wrapText="1"/>
    </xf>
    <xf numFmtId="0" fontId="0" fillId="0" borderId="7" xfId="0" applyFill="1" applyBorder="1" applyAlignment="1">
      <alignment vertical="center" wrapText="1"/>
    </xf>
    <xf numFmtId="0" fontId="0" fillId="0" borderId="7" xfId="1" applyFont="1" applyBorder="1" applyAlignment="1" applyProtection="1">
      <alignment vertical="center" wrapText="1"/>
    </xf>
    <xf numFmtId="0" fontId="0" fillId="0" borderId="9" xfId="0" applyBorder="1" applyAlignment="1">
      <alignment vertical="center" wrapText="1"/>
    </xf>
    <xf numFmtId="0" fontId="5" fillId="0" borderId="12" xfId="0" applyFont="1" applyBorder="1" applyAlignment="1">
      <alignment horizontal="center" vertical="center" wrapText="1"/>
    </xf>
    <xf numFmtId="166" fontId="5" fillId="0" borderId="11" xfId="0" applyNumberFormat="1" applyFont="1" applyBorder="1" applyAlignment="1">
      <alignment horizontal="center" vertical="center" wrapText="1"/>
    </xf>
    <xf numFmtId="0" fontId="0" fillId="0" borderId="13" xfId="0" applyNumberFormat="1" applyFill="1" applyBorder="1" applyAlignment="1">
      <alignment horizontal="center" vertical="center"/>
    </xf>
    <xf numFmtId="164" fontId="0" fillId="0" borderId="13" xfId="0" applyNumberFormat="1" applyFill="1" applyBorder="1" applyAlignment="1">
      <alignment horizontal="center" vertical="center"/>
    </xf>
    <xf numFmtId="164" fontId="0" fillId="0" borderId="13" xfId="0" applyNumberFormat="1" applyFill="1" applyBorder="1" applyAlignment="1">
      <alignment vertical="center"/>
    </xf>
    <xf numFmtId="0" fontId="0" fillId="0" borderId="13" xfId="0" applyFill="1" applyBorder="1" applyAlignment="1">
      <alignment vertical="center" wrapText="1"/>
    </xf>
    <xf numFmtId="164" fontId="0" fillId="0" borderId="13" xfId="0" applyNumberFormat="1" applyFill="1" applyBorder="1" applyAlignment="1">
      <alignment vertical="center" wrapText="1"/>
    </xf>
    <xf numFmtId="0" fontId="0" fillId="0" borderId="7" xfId="0" applyNumberFormat="1" applyFill="1" applyBorder="1" applyAlignment="1">
      <alignment horizontal="center" vertical="center"/>
    </xf>
    <xf numFmtId="164" fontId="0" fillId="0" borderId="7" xfId="0" applyNumberFormat="1" applyFill="1" applyBorder="1" applyAlignment="1">
      <alignment horizontal="center" vertical="center"/>
    </xf>
    <xf numFmtId="164" fontId="0" fillId="0" borderId="7" xfId="0" applyNumberFormat="1" applyFill="1" applyBorder="1" applyAlignment="1">
      <alignment vertical="center"/>
    </xf>
    <xf numFmtId="164" fontId="0" fillId="0" borderId="7" xfId="0" applyNumberFormat="1" applyFill="1" applyBorder="1" applyAlignment="1">
      <alignment vertical="center" wrapText="1"/>
    </xf>
    <xf numFmtId="49" fontId="0" fillId="0" borderId="7" xfId="0" applyNumberFormat="1" applyFill="1" applyBorder="1" applyAlignment="1">
      <alignment vertical="center" wrapText="1"/>
    </xf>
    <xf numFmtId="0" fontId="0" fillId="0" borderId="9" xfId="0" applyNumberFormat="1" applyFill="1" applyBorder="1" applyAlignment="1">
      <alignment horizontal="center" vertical="center"/>
    </xf>
    <xf numFmtId="164" fontId="0" fillId="0" borderId="9" xfId="0" applyNumberFormat="1" applyFill="1" applyBorder="1" applyAlignment="1">
      <alignment vertical="center"/>
    </xf>
    <xf numFmtId="49" fontId="0" fillId="0" borderId="9" xfId="0" applyNumberFormat="1" applyFill="1" applyBorder="1" applyAlignment="1">
      <alignment vertical="center" wrapText="1"/>
    </xf>
    <xf numFmtId="164" fontId="0" fillId="0" borderId="9" xfId="0" applyNumberFormat="1" applyFill="1" applyBorder="1" applyAlignment="1">
      <alignment vertical="center" wrapText="1"/>
    </xf>
    <xf numFmtId="0" fontId="0" fillId="0" borderId="0" xfId="0" applyNumberFormat="1" applyFill="1" applyAlignment="1">
      <alignment horizontal="center" vertical="center"/>
    </xf>
    <xf numFmtId="164" fontId="0" fillId="0" borderId="0" xfId="0" applyNumberFormat="1" applyFill="1" applyAlignment="1">
      <alignment vertical="center"/>
    </xf>
    <xf numFmtId="49" fontId="0" fillId="0" borderId="0" xfId="0" applyNumberFormat="1" applyFill="1" applyAlignment="1">
      <alignment vertical="center" wrapText="1"/>
    </xf>
    <xf numFmtId="164" fontId="0" fillId="0" borderId="0" xfId="0" applyNumberFormat="1" applyFill="1" applyAlignment="1">
      <alignment vertical="center" wrapText="1"/>
    </xf>
    <xf numFmtId="0" fontId="0" fillId="0" borderId="0" xfId="0" applyNumberFormat="1" applyAlignment="1">
      <alignment horizontal="center" vertical="center"/>
    </xf>
    <xf numFmtId="164" fontId="0" fillId="0" borderId="0" xfId="0" applyNumberFormat="1" applyAlignment="1">
      <alignment vertical="center"/>
    </xf>
    <xf numFmtId="49" fontId="0" fillId="0" borderId="0" xfId="0" applyNumberFormat="1" applyAlignment="1">
      <alignment vertical="center" wrapText="1"/>
    </xf>
    <xf numFmtId="164" fontId="0" fillId="0" borderId="0" xfId="0" applyNumberFormat="1" applyAlignment="1">
      <alignment vertical="center" wrapText="1"/>
    </xf>
    <xf numFmtId="0" fontId="2" fillId="0" borderId="0" xfId="1" applyAlignment="1" applyProtection="1">
      <alignment vertical="center"/>
    </xf>
    <xf numFmtId="14" fontId="0" fillId="0" borderId="0" xfId="0" applyNumberFormat="1" applyAlignment="1">
      <alignment horizontal="left" vertical="center"/>
    </xf>
    <xf numFmtId="0" fontId="4" fillId="0" borderId="5" xfId="0" applyFont="1" applyBorder="1" applyAlignment="1">
      <alignment vertical="center"/>
    </xf>
    <xf numFmtId="0" fontId="0" fillId="0" borderId="7" xfId="0" applyBorder="1" applyAlignment="1">
      <alignment vertical="center"/>
    </xf>
    <xf numFmtId="9" fontId="0" fillId="0" borderId="7" xfId="2" applyFont="1" applyBorder="1" applyAlignment="1">
      <alignment horizontal="center" vertical="center"/>
    </xf>
    <xf numFmtId="0" fontId="0" fillId="0" borderId="9" xfId="0" applyBorder="1" applyAlignment="1">
      <alignment vertical="center"/>
    </xf>
    <xf numFmtId="9" fontId="0" fillId="0" borderId="9" xfId="2" applyFont="1" applyBorder="1" applyAlignment="1">
      <alignment vertical="center"/>
    </xf>
    <xf numFmtId="0" fontId="0" fillId="0" borderId="13" xfId="0" applyBorder="1" applyAlignment="1">
      <alignment vertical="center"/>
    </xf>
    <xf numFmtId="9" fontId="0" fillId="0" borderId="13" xfId="2" applyFont="1" applyBorder="1" applyAlignment="1">
      <alignment horizontal="center" vertical="center"/>
    </xf>
    <xf numFmtId="0" fontId="4" fillId="0" borderId="0" xfId="0" applyFont="1" applyAlignment="1">
      <alignment horizontal="right" vertical="center"/>
    </xf>
    <xf numFmtId="165" fontId="0" fillId="0" borderId="0" xfId="0" applyNumberFormat="1" applyAlignment="1">
      <alignment vertical="center"/>
    </xf>
    <xf numFmtId="0" fontId="4" fillId="3" borderId="14" xfId="0" applyFont="1" applyFill="1" applyBorder="1" applyAlignment="1">
      <alignment vertical="center"/>
    </xf>
    <xf numFmtId="0" fontId="4" fillId="3" borderId="15"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6" xfId="0" applyFont="1" applyFill="1" applyBorder="1" applyAlignment="1">
      <alignment vertical="center"/>
    </xf>
    <xf numFmtId="0" fontId="0" fillId="3" borderId="17" xfId="0" applyFill="1" applyBorder="1" applyAlignment="1">
      <alignment vertical="center"/>
    </xf>
    <xf numFmtId="0" fontId="0" fillId="3" borderId="18" xfId="0" applyFill="1" applyBorder="1" applyAlignment="1">
      <alignment vertical="center"/>
    </xf>
    <xf numFmtId="0" fontId="0" fillId="0" borderId="0" xfId="0" applyBorder="1" applyAlignment="1">
      <alignment vertical="center"/>
    </xf>
    <xf numFmtId="9" fontId="0" fillId="0" borderId="0" xfId="2" applyFont="1" applyBorder="1" applyAlignment="1">
      <alignment vertical="center"/>
    </xf>
    <xf numFmtId="0" fontId="0" fillId="0" borderId="0" xfId="0" applyBorder="1" applyAlignment="1">
      <alignment vertical="center" wrapText="1"/>
    </xf>
    <xf numFmtId="0" fontId="4" fillId="0" borderId="7" xfId="0" applyFont="1" applyBorder="1" applyAlignment="1">
      <alignment vertical="center"/>
    </xf>
    <xf numFmtId="0" fontId="0" fillId="0" borderId="5" xfId="0" applyBorder="1" applyAlignment="1">
      <alignment vertical="center" wrapText="1"/>
    </xf>
    <xf numFmtId="14" fontId="0" fillId="0" borderId="5" xfId="0" applyNumberFormat="1" applyBorder="1" applyAlignment="1">
      <alignment horizontal="center" vertical="center" wrapText="1"/>
    </xf>
    <xf numFmtId="0" fontId="0" fillId="0" borderId="5" xfId="0" applyBorder="1" applyAlignment="1">
      <alignment horizontal="center" vertical="center" wrapText="1"/>
    </xf>
    <xf numFmtId="14" fontId="0" fillId="0" borderId="7" xfId="0" applyNumberFormat="1" applyBorder="1" applyAlignment="1">
      <alignment horizontal="center" vertical="center" wrapText="1"/>
    </xf>
    <xf numFmtId="0" fontId="0" fillId="0" borderId="13" xfId="0" applyBorder="1" applyAlignment="1">
      <alignment vertical="center" wrapText="1"/>
    </xf>
    <xf numFmtId="14" fontId="0" fillId="0" borderId="13" xfId="0" applyNumberFormat="1" applyBorder="1" applyAlignment="1">
      <alignment horizontal="center" vertical="center" wrapText="1"/>
    </xf>
    <xf numFmtId="0" fontId="4" fillId="0" borderId="0" xfId="0" applyFont="1" applyAlignment="1">
      <alignment horizontal="left" vertical="center"/>
    </xf>
    <xf numFmtId="0" fontId="0" fillId="0" borderId="0" xfId="0" applyAlignment="1">
      <alignment horizontal="left" vertical="top" wrapText="1"/>
    </xf>
    <xf numFmtId="0" fontId="6" fillId="2" borderId="2" xfId="0" applyFont="1" applyFill="1" applyBorder="1" applyAlignment="1">
      <alignment horizontal="center" vertical="top" wrapText="1"/>
    </xf>
    <xf numFmtId="0" fontId="0" fillId="0" borderId="7" xfId="0" applyBorder="1" applyAlignment="1">
      <alignment horizontal="left" vertical="top" wrapText="1"/>
    </xf>
    <xf numFmtId="0" fontId="5" fillId="0" borderId="7" xfId="0" applyFont="1" applyBorder="1" applyAlignment="1">
      <alignment horizontal="left" vertical="top" wrapText="1"/>
    </xf>
    <xf numFmtId="0" fontId="6" fillId="0" borderId="7" xfId="0" applyFont="1" applyBorder="1" applyAlignment="1">
      <alignment horizontal="left" vertical="top" wrapText="1"/>
    </xf>
    <xf numFmtId="0" fontId="0" fillId="0" borderId="9" xfId="0" applyBorder="1" applyAlignment="1">
      <alignment horizontal="left" vertical="top" wrapText="1"/>
    </xf>
    <xf numFmtId="0" fontId="4" fillId="0" borderId="0" xfId="0" applyFont="1"/>
    <xf numFmtId="0" fontId="4" fillId="0" borderId="26" xfId="0" applyFont="1" applyBorder="1"/>
    <xf numFmtId="0" fontId="0" fillId="0" borderId="26" xfId="0" applyBorder="1"/>
    <xf numFmtId="0" fontId="4" fillId="0" borderId="26" xfId="0" applyFont="1" applyBorder="1" applyAlignment="1">
      <alignment horizontal="center"/>
    </xf>
    <xf numFmtId="0" fontId="0" fillId="0" borderId="26" xfId="0" applyBorder="1" applyAlignment="1">
      <alignment horizontal="center"/>
    </xf>
    <xf numFmtId="0" fontId="0" fillId="0" borderId="26" xfId="0" applyBorder="1" applyAlignment="1">
      <alignment vertical="center"/>
    </xf>
    <xf numFmtId="0" fontId="0" fillId="0" borderId="26" xfId="0" quotePrefix="1" applyBorder="1"/>
    <xf numFmtId="0" fontId="0" fillId="0" borderId="0" xfId="0" applyAlignment="1">
      <alignment vertical="top" wrapText="1"/>
    </xf>
    <xf numFmtId="0" fontId="4" fillId="0" borderId="0" xfId="0" applyFont="1" applyAlignment="1">
      <alignment vertical="top" wrapText="1"/>
    </xf>
    <xf numFmtId="0" fontId="0" fillId="0" borderId="0" xfId="0" applyAlignment="1">
      <alignment horizontal="left" vertical="center" wrapText="1"/>
    </xf>
    <xf numFmtId="0" fontId="5" fillId="0" borderId="9" xfId="0" applyFont="1" applyBorder="1" applyAlignment="1">
      <alignment horizontal="left" vertical="top" wrapText="1"/>
    </xf>
    <xf numFmtId="0" fontId="5" fillId="0" borderId="7" xfId="0" quotePrefix="1" applyFont="1" applyBorder="1" applyAlignment="1">
      <alignment horizontal="left" vertical="top" wrapText="1"/>
    </xf>
    <xf numFmtId="0" fontId="5" fillId="0" borderId="12" xfId="0" applyFont="1" applyBorder="1" applyAlignment="1">
      <alignment vertical="center" wrapText="1"/>
    </xf>
    <xf numFmtId="14" fontId="5" fillId="0" borderId="8" xfId="0" applyNumberFormat="1" applyFont="1" applyBorder="1" applyAlignment="1">
      <alignment horizontal="center" vertical="center" wrapText="1"/>
    </xf>
    <xf numFmtId="0" fontId="5" fillId="3" borderId="8" xfId="0" applyFont="1" applyFill="1" applyBorder="1" applyAlignment="1">
      <alignment horizontal="center" vertical="center" wrapText="1"/>
    </xf>
    <xf numFmtId="0" fontId="6" fillId="0" borderId="6" xfId="0" applyFont="1" applyBorder="1" applyAlignment="1">
      <alignment horizontal="left" vertical="center" wrapText="1"/>
    </xf>
    <xf numFmtId="0" fontId="5" fillId="0" borderId="8" xfId="0" applyFont="1" applyBorder="1" applyAlignment="1">
      <alignment horizontal="left" vertical="center" wrapText="1"/>
    </xf>
    <xf numFmtId="0" fontId="5" fillId="0" borderId="12" xfId="0" applyFont="1" applyBorder="1" applyAlignment="1">
      <alignment horizontal="left" vertical="center" wrapText="1"/>
    </xf>
    <xf numFmtId="0" fontId="5" fillId="0" borderId="10" xfId="0" applyFont="1" applyBorder="1" applyAlignment="1">
      <alignment horizontal="left" vertical="center" wrapText="1"/>
    </xf>
    <xf numFmtId="0" fontId="0" fillId="0" borderId="0" xfId="0" applyAlignment="1">
      <alignment horizontal="left"/>
    </xf>
    <xf numFmtId="0" fontId="5" fillId="3" borderId="12"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0" xfId="0" applyFont="1" applyFill="1" applyBorder="1" applyAlignment="1">
      <alignment horizontal="center" vertical="center" wrapText="1"/>
    </xf>
    <xf numFmtId="14" fontId="5" fillId="0" borderId="8" xfId="0" applyNumberFormat="1" applyFont="1" applyFill="1" applyBorder="1" applyAlignment="1">
      <alignment horizontal="center" vertical="center" wrapText="1"/>
    </xf>
    <xf numFmtId="0" fontId="5" fillId="0" borderId="8" xfId="0" applyFont="1" applyFill="1" applyBorder="1" applyAlignment="1">
      <alignment horizontal="left" vertical="center" wrapText="1"/>
    </xf>
    <xf numFmtId="166" fontId="14" fillId="0" borderId="7" xfId="0" applyNumberFormat="1" applyFont="1" applyFill="1" applyBorder="1" applyAlignment="1">
      <alignment horizontal="center" vertical="center" wrapText="1"/>
    </xf>
    <xf numFmtId="0" fontId="14" fillId="0" borderId="8" xfId="0" applyFont="1" applyFill="1" applyBorder="1" applyAlignment="1">
      <alignment vertical="center" wrapText="1"/>
    </xf>
    <xf numFmtId="0" fontId="14" fillId="0" borderId="8" xfId="0" applyFont="1" applyFill="1" applyBorder="1" applyAlignment="1">
      <alignment horizontal="center" vertical="center" wrapText="1"/>
    </xf>
    <xf numFmtId="0" fontId="14" fillId="3" borderId="8" xfId="0" applyFont="1" applyFill="1" applyBorder="1" applyAlignment="1">
      <alignment horizontal="center" vertical="center" wrapText="1"/>
    </xf>
    <xf numFmtId="166" fontId="14" fillId="0" borderId="11" xfId="0" applyNumberFormat="1" applyFont="1" applyBorder="1" applyAlignment="1">
      <alignment horizontal="center" vertical="center" wrapText="1"/>
    </xf>
    <xf numFmtId="0" fontId="14" fillId="0" borderId="12" xfId="0" applyFont="1" applyBorder="1" applyAlignment="1">
      <alignment vertical="center" wrapText="1"/>
    </xf>
    <xf numFmtId="0" fontId="14" fillId="0" borderId="8" xfId="0" applyFont="1" applyBorder="1" applyAlignment="1">
      <alignment horizontal="center" vertical="center" wrapText="1"/>
    </xf>
    <xf numFmtId="0" fontId="14" fillId="3" borderId="12" xfId="0" applyFont="1" applyFill="1" applyBorder="1" applyAlignment="1">
      <alignment horizontal="center" vertical="center" wrapText="1"/>
    </xf>
    <xf numFmtId="14" fontId="0" fillId="0" borderId="0" xfId="0" applyNumberFormat="1" applyAlignment="1">
      <alignment vertical="center"/>
    </xf>
    <xf numFmtId="14" fontId="11" fillId="2" borderId="1" xfId="0" applyNumberFormat="1" applyFont="1" applyFill="1" applyBorder="1" applyAlignment="1">
      <alignment horizontal="center" vertical="center" wrapText="1"/>
    </xf>
    <xf numFmtId="14" fontId="0" fillId="0" borderId="13" xfId="0" applyNumberFormat="1" applyFill="1" applyBorder="1" applyAlignment="1">
      <alignment vertical="center"/>
    </xf>
    <xf numFmtId="14" fontId="0" fillId="0" borderId="7" xfId="0" applyNumberFormat="1" applyFill="1" applyBorder="1" applyAlignment="1">
      <alignment vertical="center"/>
    </xf>
    <xf numFmtId="14" fontId="0" fillId="0" borderId="9" xfId="0" applyNumberFormat="1" applyFill="1" applyBorder="1" applyAlignment="1">
      <alignment vertical="center"/>
    </xf>
    <xf numFmtId="14" fontId="0" fillId="0" borderId="0" xfId="0" applyNumberFormat="1" applyFill="1" applyAlignment="1">
      <alignment vertical="center"/>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2" xfId="0" applyFont="1" applyFill="1" applyBorder="1" applyAlignment="1">
      <alignment horizontal="center" vertical="center"/>
    </xf>
    <xf numFmtId="0" fontId="2" fillId="0" borderId="20" xfId="1" applyBorder="1" applyAlignment="1" applyProtection="1">
      <alignment vertical="center"/>
    </xf>
    <xf numFmtId="0" fontId="0" fillId="0" borderId="23" xfId="0" applyBorder="1" applyAlignment="1">
      <alignment vertical="center"/>
    </xf>
    <xf numFmtId="0" fontId="0" fillId="0" borderId="6" xfId="0" applyBorder="1" applyAlignment="1">
      <alignment vertical="center"/>
    </xf>
    <xf numFmtId="0" fontId="2" fillId="0" borderId="21" xfId="1" applyBorder="1" applyAlignment="1" applyProtection="1">
      <alignment vertical="center"/>
    </xf>
    <xf numFmtId="0" fontId="0" fillId="0" borderId="24" xfId="0" applyBorder="1" applyAlignment="1">
      <alignment vertical="center"/>
    </xf>
    <xf numFmtId="0" fontId="0" fillId="0" borderId="8" xfId="0" applyBorder="1" applyAlignment="1">
      <alignment vertical="center"/>
    </xf>
    <xf numFmtId="0" fontId="0" fillId="0" borderId="22" xfId="0" applyBorder="1" applyAlignment="1">
      <alignment vertical="center"/>
    </xf>
    <xf numFmtId="0" fontId="0" fillId="0" borderId="25" xfId="0" applyBorder="1" applyAlignment="1">
      <alignment vertical="center"/>
    </xf>
    <xf numFmtId="0" fontId="0" fillId="0" borderId="10" xfId="0" applyBorder="1" applyAlignment="1">
      <alignment vertical="center"/>
    </xf>
    <xf numFmtId="0" fontId="0" fillId="0" borderId="22" xfId="0" applyBorder="1" applyAlignment="1">
      <alignment vertical="center" wrapText="1"/>
    </xf>
    <xf numFmtId="0" fontId="0" fillId="0" borderId="25" xfId="0" applyBorder="1" applyAlignment="1">
      <alignment vertical="center" wrapText="1"/>
    </xf>
    <xf numFmtId="0" fontId="0" fillId="0" borderId="10" xfId="0" applyBorder="1" applyAlignment="1">
      <alignment vertical="center" wrapText="1"/>
    </xf>
    <xf numFmtId="0" fontId="7" fillId="0" borderId="0" xfId="0" applyFont="1" applyAlignment="1">
      <alignment horizontal="center" vertical="center"/>
    </xf>
    <xf numFmtId="0" fontId="0" fillId="0" borderId="19" xfId="0" applyBorder="1" applyAlignment="1">
      <alignment vertical="center" wrapText="1"/>
    </xf>
    <xf numFmtId="0" fontId="0" fillId="0" borderId="4" xfId="0" applyBorder="1" applyAlignment="1">
      <alignment vertical="center"/>
    </xf>
    <xf numFmtId="0" fontId="0" fillId="0" borderId="3" xfId="0" applyBorder="1" applyAlignment="1">
      <alignment vertical="center"/>
    </xf>
    <xf numFmtId="0" fontId="0" fillId="0" borderId="21" xfId="0" applyBorder="1" applyAlignment="1">
      <alignment vertical="center" wrapText="1"/>
    </xf>
    <xf numFmtId="0" fontId="0" fillId="0" borderId="24" xfId="0" applyBorder="1" applyAlignment="1">
      <alignment vertical="center" wrapText="1"/>
    </xf>
    <xf numFmtId="0" fontId="0" fillId="0" borderId="8" xfId="0" applyBorder="1" applyAlignment="1">
      <alignment vertical="center" wrapText="1"/>
    </xf>
    <xf numFmtId="9" fontId="2" fillId="0" borderId="20" xfId="1" applyNumberFormat="1" applyBorder="1" applyAlignment="1" applyProtection="1">
      <alignment vertical="center"/>
    </xf>
    <xf numFmtId="9" fontId="2" fillId="0" borderId="6" xfId="1" applyNumberFormat="1" applyBorder="1" applyAlignment="1" applyProtection="1">
      <alignment vertical="center"/>
    </xf>
    <xf numFmtId="9" fontId="2" fillId="0" borderId="21" xfId="1" applyNumberFormat="1" applyBorder="1" applyAlignment="1" applyProtection="1">
      <alignment vertical="center"/>
    </xf>
    <xf numFmtId="9" fontId="2" fillId="0" borderId="8" xfId="1" applyNumberFormat="1" applyBorder="1" applyAlignment="1" applyProtection="1">
      <alignment vertical="center"/>
    </xf>
    <xf numFmtId="9" fontId="0" fillId="0" borderId="21" xfId="2" applyFont="1" applyBorder="1" applyAlignment="1">
      <alignment vertical="center"/>
    </xf>
    <xf numFmtId="9" fontId="0" fillId="0" borderId="8" xfId="2" applyFont="1" applyBorder="1" applyAlignment="1">
      <alignment vertical="center"/>
    </xf>
    <xf numFmtId="9" fontId="0" fillId="0" borderId="22" xfId="2" applyFont="1" applyBorder="1" applyAlignment="1">
      <alignment vertical="center"/>
    </xf>
    <xf numFmtId="9" fontId="0" fillId="0" borderId="10" xfId="2" applyFont="1" applyBorder="1" applyAlignment="1">
      <alignment vertical="center"/>
    </xf>
    <xf numFmtId="0" fontId="0" fillId="0" borderId="20" xfId="0" applyBorder="1" applyAlignment="1">
      <alignment vertical="center" wrapText="1"/>
    </xf>
    <xf numFmtId="0" fontId="0" fillId="0" borderId="23" xfId="0" applyBorder="1" applyAlignment="1">
      <alignment vertical="center" wrapText="1"/>
    </xf>
    <xf numFmtId="0" fontId="0" fillId="0" borderId="6" xfId="0" applyBorder="1" applyAlignment="1">
      <alignment vertical="center" wrapText="1"/>
    </xf>
    <xf numFmtId="0" fontId="0" fillId="0" borderId="0" xfId="0" applyAlignment="1">
      <alignment horizontal="left" vertical="top" wrapText="1"/>
    </xf>
    <xf numFmtId="0" fontId="7"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xf>
    <xf numFmtId="0" fontId="0" fillId="0" borderId="26" xfId="0" applyBorder="1" applyAlignment="1">
      <alignment horizontal="left"/>
    </xf>
    <xf numFmtId="0" fontId="4" fillId="0" borderId="26" xfId="0" applyFont="1" applyBorder="1" applyAlignment="1">
      <alignment horizontal="left"/>
    </xf>
    <xf numFmtId="0" fontId="0" fillId="0" borderId="26" xfId="0" applyBorder="1" applyAlignment="1">
      <alignment horizontal="left" wrapText="1"/>
    </xf>
  </cellXfs>
  <cellStyles count="3">
    <cellStyle name="Link" xfId="1" builtinId="8"/>
    <cellStyle name="Prozent" xfId="2" builtinId="5"/>
    <cellStyle name="Standard" xfId="0" builtinId="0"/>
  </cellStyles>
  <dxfs count="15">
    <dxf>
      <numFmt numFmtId="164" formatCode="dd/mm/yy;@"/>
      <fill>
        <patternFill patternType="none">
          <fgColor indexed="64"/>
          <bgColor auto="1"/>
        </patternFill>
      </fill>
      <alignment vertical="center" textRotation="0" indent="0" justifyLastLine="0" shrinkToFit="0" readingOrder="0"/>
    </dxf>
    <dxf>
      <numFmt numFmtId="164" formatCode="dd/mm/yy;@"/>
      <fill>
        <patternFill patternType="none">
          <fgColor indexed="64"/>
          <bgColor auto="1"/>
        </patternFill>
      </fill>
      <alignment vertical="center" textRotation="0" indent="0" justifyLastLine="0" shrinkToFit="0" readingOrder="0"/>
    </dxf>
    <dxf>
      <numFmt numFmtId="19" formatCode="dd/mm/yyyy"/>
      <fill>
        <patternFill patternType="none">
          <fgColor indexed="64"/>
          <bgColor auto="1"/>
        </patternFill>
      </fill>
      <alignment vertical="center" textRotation="0" indent="0" justifyLastLine="0" shrinkToFit="0" readingOrder="0"/>
    </dxf>
    <dxf>
      <numFmt numFmtId="164" formatCode="dd/mm/yy;@"/>
      <fill>
        <patternFill patternType="none">
          <fgColor indexed="64"/>
          <bgColor auto="1"/>
        </patternFill>
      </fill>
      <alignment vertical="center" textRotation="0" indent="0" justifyLastLine="0" shrinkToFit="0" readingOrder="0"/>
    </dxf>
    <dxf>
      <numFmt numFmtId="164" formatCode="dd/mm/yy;@"/>
      <fill>
        <patternFill patternType="none">
          <fgColor indexed="64"/>
          <bgColor auto="1"/>
        </patternFill>
      </fill>
      <alignment vertical="center" textRotation="0" indent="0" justifyLastLine="0" shrinkToFit="0" readingOrder="0"/>
    </dxf>
    <dxf>
      <numFmt numFmtId="164" formatCode="dd/mm/yy;@"/>
      <fill>
        <patternFill patternType="none">
          <fgColor indexed="64"/>
          <bgColor auto="1"/>
        </patternFill>
      </fill>
      <alignment vertical="center" textRotation="0" indent="0" justifyLastLine="0" shrinkToFit="0" readingOrder="0"/>
    </dxf>
    <dxf>
      <numFmt numFmtId="30" formatCode="@"/>
      <fill>
        <patternFill patternType="none">
          <fgColor indexed="64"/>
          <bgColor auto="1"/>
        </patternFill>
      </fill>
      <alignment horizontal="general" vertical="center" textRotation="0" wrapText="1" indent="0" justifyLastLine="0" shrinkToFit="0" readingOrder="0"/>
    </dxf>
    <dxf>
      <numFmt numFmtId="19" formatCode="dd/mm/yyyy"/>
      <fill>
        <patternFill patternType="none">
          <fgColor indexed="64"/>
          <bgColor auto="1"/>
        </patternFill>
      </fill>
      <alignment vertical="center" textRotation="0" indent="0" justifyLastLine="0" shrinkToFit="0" readingOrder="0"/>
    </dxf>
    <dxf>
      <numFmt numFmtId="164" formatCode="dd/mm/yy;@"/>
      <fill>
        <patternFill patternType="none">
          <fgColor indexed="64"/>
          <bgColor auto="1"/>
        </patternFill>
      </fill>
      <alignment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alignment vertical="center" textRotation="0" indent="0" justifyLastLine="0" shrinkToFit="0" readingOrder="0"/>
    </dxf>
    <dxf>
      <fill>
        <patternFill patternType="none">
          <fgColor indexed="64"/>
          <bgColor auto="1"/>
        </patternFill>
      </fill>
      <alignment vertical="center" textRotation="0" indent="0" justifyLastLine="0" shrinkToFit="0" readingOrder="0"/>
    </dxf>
    <dxf>
      <border>
        <bottom style="medium">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9</xdr:col>
      <xdr:colOff>95250</xdr:colOff>
      <xdr:row>18</xdr:row>
      <xdr:rowOff>187960</xdr:rowOff>
    </xdr:to>
    <xdr:pic>
      <xdr:nvPicPr>
        <xdr:cNvPr id="3" name="Grafik 2" descr="Stakeholderanalyse Projektmanagement">
          <a:extLst>
            <a:ext uri="{FF2B5EF4-FFF2-40B4-BE49-F238E27FC236}">
              <a16:creationId xmlns:a16="http://schemas.microsoft.com/office/drawing/2014/main" id="{39F3D99C-F898-4DA1-8A5F-A6F5BAD63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15275" y="676275"/>
          <a:ext cx="3143250" cy="304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hilipp\AppData\Local\Temp\OPL_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L"/>
      <sheetName val="Stammdaten"/>
    </sheetNames>
    <sheetDataSet>
      <sheetData sheetId="0"/>
      <sheetData sheetId="1">
        <row r="4">
          <cell r="A4" t="str">
            <v>a</v>
          </cell>
        </row>
        <row r="5">
          <cell r="A5" t="str">
            <v>d</v>
          </cell>
        </row>
        <row r="6">
          <cell r="A6" t="str">
            <v>i</v>
          </cell>
        </row>
        <row r="9">
          <cell r="A9" t="str">
            <v>AP1</v>
          </cell>
        </row>
        <row r="10">
          <cell r="A10" t="str">
            <v>ohne</v>
          </cell>
        </row>
        <row r="13">
          <cell r="A13" t="str">
            <v>Thema1</v>
          </cell>
        </row>
        <row r="16">
          <cell r="A16">
            <v>1</v>
          </cell>
        </row>
        <row r="17">
          <cell r="A17">
            <v>2</v>
          </cell>
        </row>
        <row r="18">
          <cell r="A18">
            <v>3</v>
          </cell>
        </row>
        <row r="21">
          <cell r="A21" t="str">
            <v>n</v>
          </cell>
        </row>
        <row r="22">
          <cell r="A22" t="str">
            <v>o</v>
          </cell>
        </row>
        <row r="23">
          <cell r="A23" t="str">
            <v>p</v>
          </cell>
        </row>
        <row r="24">
          <cell r="A24" t="str">
            <v>c</v>
          </cell>
        </row>
        <row r="27">
          <cell r="A27" t="str">
            <v>n.n.</v>
          </cell>
        </row>
        <row r="28">
          <cell r="A28" t="str">
            <v>Schloß, Bernhard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3:K34" insertRowShift="1" headerRowDxfId="14" dataDxfId="12" totalsRowDxfId="11" headerRowBorderDxfId="13">
  <autoFilter ref="A3:K34" xr:uid="{00000000-0009-0000-0100-000001000000}"/>
  <tableColumns count="11">
    <tableColumn id="1" xr3:uid="{00000000-0010-0000-0000-000001000000}" name="ID" totalsRowLabel="Ergebnis" dataDxfId="10">
      <calculatedColumnFormula>ROW()-3</calculatedColumnFormula>
    </tableColumn>
    <tableColumn id="2" xr3:uid="{00000000-0010-0000-0000-000002000000}" name="Typ" dataDxfId="9"/>
    <tableColumn id="8" xr3:uid="{00000000-0010-0000-0000-000008000000}" name="Initiator" dataDxfId="8"/>
    <tableColumn id="9" xr3:uid="{00000000-0010-0000-0000-000009000000}" name="Datum" dataDxfId="7"/>
    <tableColumn id="4" xr3:uid="{00000000-0010-0000-0000-000004000000}" name="Thema + Beschreibung" dataDxfId="6"/>
    <tableColumn id="6" xr3:uid="{00000000-0010-0000-0000-000006000000}" name="Prio" dataDxfId="5"/>
    <tableColumn id="7" xr3:uid="{00000000-0010-0000-0000-000007000000}" name="Status" dataDxfId="4"/>
    <tableColumn id="10" xr3:uid="{00000000-0010-0000-0000-00000A000000}" name="Verantwortlicher" dataDxfId="3"/>
    <tableColumn id="11" xr3:uid="{00000000-0010-0000-0000-00000B000000}" name="Termin" dataDxfId="2"/>
    <tableColumn id="12" xr3:uid="{00000000-0010-0000-0000-00000C000000}" name="Bemerkungen/Status/Ergebnisse" totalsRowFunction="count" dataDxfId="1"/>
    <tableColumn id="3" xr3:uid="{00000000-0010-0000-0000-000003000000}" name="Projektmeeting"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euhold-elektronik.at/catshop/product_info.php?cPath=36_230&amp;products_id=7117" TargetMode="External"/><Relationship Id="rId1" Type="http://schemas.openxmlformats.org/officeDocument/2006/relationships/hyperlink" Target="https://www.banggood.com/de/4WD-DIY-Smart-Chassis-Car-Kit-For-Arduino-with-UNO-R3-Ultrasonic-ModuleMotor-drive-board-p-1332912.html?akmClientCountry=AT&amp;rmmds=detail-left-hotproducts__4&amp;cur_warehouse=CN"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9"/>
  <sheetViews>
    <sheetView tabSelected="1" zoomScaleNormal="100" workbookViewId="0">
      <selection activeCell="D28" sqref="D28:F28"/>
    </sheetView>
  </sheetViews>
  <sheetFormatPr baseColWidth="10" defaultColWidth="11.44140625" defaultRowHeight="14.4" x14ac:dyDescent="0.3"/>
  <cols>
    <col min="1" max="1" width="17" style="9" customWidth="1"/>
    <col min="2" max="2" width="22.44140625" style="9" customWidth="1"/>
    <col min="3" max="3" width="22.109375" style="9" customWidth="1"/>
    <col min="4" max="4" width="13.109375" style="9" customWidth="1"/>
    <col min="5" max="6" width="19.33203125" style="9" customWidth="1"/>
    <col min="7" max="16384" width="11.44140625" style="9"/>
  </cols>
  <sheetData>
    <row r="1" spans="1:6" ht="23.4" x14ac:dyDescent="0.3">
      <c r="A1" s="145" t="s">
        <v>131</v>
      </c>
      <c r="B1" s="145"/>
      <c r="C1" s="145"/>
      <c r="D1" s="145"/>
      <c r="E1" s="145"/>
      <c r="F1" s="145"/>
    </row>
    <row r="3" spans="1:6" x14ac:dyDescent="0.3">
      <c r="A3" s="64" t="s">
        <v>60</v>
      </c>
      <c r="B3" s="56">
        <v>43899</v>
      </c>
      <c r="C3" s="64" t="s">
        <v>64</v>
      </c>
      <c r="D3" s="65" t="s">
        <v>132</v>
      </c>
      <c r="E3" s="82" t="s">
        <v>85</v>
      </c>
    </row>
    <row r="4" spans="1:6" x14ac:dyDescent="0.3">
      <c r="A4" s="64" t="s">
        <v>61</v>
      </c>
      <c r="B4" s="56">
        <v>43990</v>
      </c>
      <c r="C4" s="64" t="s">
        <v>79</v>
      </c>
      <c r="D4" s="9" t="s">
        <v>16</v>
      </c>
      <c r="E4" s="9" t="s">
        <v>84</v>
      </c>
    </row>
    <row r="6" spans="1:6" ht="15" thickBot="1" x14ac:dyDescent="0.35"/>
    <row r="7" spans="1:6" ht="15" thickBot="1" x14ac:dyDescent="0.35">
      <c r="A7" s="66" t="s">
        <v>59</v>
      </c>
      <c r="B7" s="67" t="s">
        <v>65</v>
      </c>
      <c r="C7" s="67" t="s">
        <v>63</v>
      </c>
      <c r="D7" s="68" t="s">
        <v>62</v>
      </c>
      <c r="E7" s="130" t="s">
        <v>66</v>
      </c>
      <c r="F7" s="132"/>
    </row>
    <row r="8" spans="1:6" x14ac:dyDescent="0.3">
      <c r="A8" s="62" t="s">
        <v>24</v>
      </c>
      <c r="B8" s="62"/>
      <c r="C8" s="62"/>
      <c r="D8" s="63"/>
      <c r="E8" s="152"/>
      <c r="F8" s="153"/>
    </row>
    <row r="9" spans="1:6" x14ac:dyDescent="0.3">
      <c r="A9" s="58"/>
      <c r="B9" s="58"/>
      <c r="C9" s="58"/>
      <c r="D9" s="59"/>
      <c r="E9" s="154"/>
      <c r="F9" s="155"/>
    </row>
    <row r="10" spans="1:6" x14ac:dyDescent="0.3">
      <c r="A10" s="58"/>
      <c r="B10" s="58"/>
      <c r="C10" s="58"/>
      <c r="D10" s="59"/>
      <c r="E10" s="156"/>
      <c r="F10" s="157"/>
    </row>
    <row r="11" spans="1:6" ht="15" thickBot="1" x14ac:dyDescent="0.35">
      <c r="A11" s="60"/>
      <c r="B11" s="60"/>
      <c r="C11" s="60"/>
      <c r="D11" s="61"/>
      <c r="E11" s="158"/>
      <c r="F11" s="159"/>
    </row>
    <row r="12" spans="1:6" x14ac:dyDescent="0.3">
      <c r="A12" s="72"/>
      <c r="B12" s="72"/>
      <c r="C12" s="72"/>
      <c r="D12" s="73"/>
      <c r="E12" s="73"/>
      <c r="F12" s="73"/>
    </row>
    <row r="13" spans="1:6" ht="15" thickBot="1" x14ac:dyDescent="0.35"/>
    <row r="14" spans="1:6" ht="15" thickBot="1" x14ac:dyDescent="0.35">
      <c r="A14" s="69" t="s">
        <v>69</v>
      </c>
      <c r="B14" s="70"/>
      <c r="C14" s="70"/>
      <c r="D14" s="70"/>
      <c r="E14" s="70"/>
      <c r="F14" s="71"/>
    </row>
    <row r="15" spans="1:6" x14ac:dyDescent="0.3">
      <c r="A15" s="57" t="s">
        <v>68</v>
      </c>
      <c r="B15" s="133"/>
      <c r="C15" s="134"/>
      <c r="D15" s="134"/>
      <c r="E15" s="134"/>
      <c r="F15" s="135"/>
    </row>
    <row r="16" spans="1:6" x14ac:dyDescent="0.3">
      <c r="A16" s="75" t="s">
        <v>67</v>
      </c>
      <c r="B16" s="136"/>
      <c r="C16" s="137"/>
      <c r="D16" s="137"/>
      <c r="E16" s="137"/>
      <c r="F16" s="138"/>
    </row>
    <row r="17" spans="1:6" x14ac:dyDescent="0.3">
      <c r="A17" s="75" t="s">
        <v>133</v>
      </c>
      <c r="B17" s="136"/>
      <c r="C17" s="137"/>
      <c r="D17" s="137"/>
      <c r="E17" s="137"/>
      <c r="F17" s="138"/>
    </row>
    <row r="18" spans="1:6" x14ac:dyDescent="0.3">
      <c r="A18" s="75" t="s">
        <v>134</v>
      </c>
      <c r="B18" s="136"/>
      <c r="C18" s="137"/>
      <c r="D18" s="137"/>
      <c r="E18" s="137"/>
      <c r="F18" s="138"/>
    </row>
    <row r="19" spans="1:6" ht="15" thickBot="1" x14ac:dyDescent="0.35">
      <c r="A19" s="60"/>
      <c r="B19" s="139"/>
      <c r="C19" s="140"/>
      <c r="D19" s="140"/>
      <c r="E19" s="140"/>
      <c r="F19" s="141"/>
    </row>
    <row r="21" spans="1:6" ht="15" thickBot="1" x14ac:dyDescent="0.35"/>
    <row r="22" spans="1:6" x14ac:dyDescent="0.3">
      <c r="A22" s="69" t="s">
        <v>81</v>
      </c>
      <c r="B22" s="70"/>
      <c r="C22" s="70"/>
      <c r="D22" s="70"/>
      <c r="E22" s="70"/>
      <c r="F22" s="71"/>
    </row>
    <row r="23" spans="1:6" ht="107.25" customHeight="1" thickBot="1" x14ac:dyDescent="0.35">
      <c r="A23" s="146" t="s">
        <v>135</v>
      </c>
      <c r="B23" s="147"/>
      <c r="C23" s="147"/>
      <c r="D23" s="147"/>
      <c r="E23" s="147"/>
      <c r="F23" s="148"/>
    </row>
    <row r="24" spans="1:6" x14ac:dyDescent="0.3">
      <c r="A24" s="74"/>
      <c r="B24" s="72"/>
      <c r="C24" s="72"/>
      <c r="D24" s="72"/>
      <c r="E24" s="72"/>
      <c r="F24" s="72"/>
    </row>
    <row r="25" spans="1:6" ht="15" thickBot="1" x14ac:dyDescent="0.35"/>
    <row r="26" spans="1:6" ht="15" thickBot="1" x14ac:dyDescent="0.35">
      <c r="A26" s="130" t="s">
        <v>82</v>
      </c>
      <c r="B26" s="131"/>
      <c r="C26" s="132"/>
      <c r="D26" s="130" t="s">
        <v>80</v>
      </c>
      <c r="E26" s="131"/>
      <c r="F26" s="132"/>
    </row>
    <row r="27" spans="1:6" s="4" customFormat="1" ht="47.25" customHeight="1" x14ac:dyDescent="0.3">
      <c r="A27" s="149" t="s">
        <v>136</v>
      </c>
      <c r="B27" s="150"/>
      <c r="C27" s="151"/>
      <c r="D27" s="160"/>
      <c r="E27" s="161"/>
      <c r="F27" s="162"/>
    </row>
    <row r="28" spans="1:6" s="4" customFormat="1" ht="47.25" customHeight="1" x14ac:dyDescent="0.3">
      <c r="A28" s="149" t="s">
        <v>138</v>
      </c>
      <c r="B28" s="150"/>
      <c r="C28" s="150"/>
      <c r="D28" s="149" t="s">
        <v>137</v>
      </c>
      <c r="E28" s="150"/>
      <c r="F28" s="151"/>
    </row>
    <row r="29" spans="1:6" ht="47.25" customHeight="1" thickBot="1" x14ac:dyDescent="0.35">
      <c r="A29" s="142" t="s">
        <v>139</v>
      </c>
      <c r="B29" s="143"/>
      <c r="C29" s="143"/>
      <c r="D29" s="142"/>
      <c r="E29" s="143"/>
      <c r="F29" s="144"/>
    </row>
  </sheetData>
  <mergeCells count="20">
    <mergeCell ref="A29:C29"/>
    <mergeCell ref="D29:F29"/>
    <mergeCell ref="A1:F1"/>
    <mergeCell ref="A23:F23"/>
    <mergeCell ref="A27:C27"/>
    <mergeCell ref="E7:F7"/>
    <mergeCell ref="E8:F8"/>
    <mergeCell ref="E9:F9"/>
    <mergeCell ref="E10:F10"/>
    <mergeCell ref="E11:F11"/>
    <mergeCell ref="A28:C28"/>
    <mergeCell ref="D26:F26"/>
    <mergeCell ref="D27:F27"/>
    <mergeCell ref="D28:F28"/>
    <mergeCell ref="A26:C26"/>
    <mergeCell ref="B15:F15"/>
    <mergeCell ref="B16:F16"/>
    <mergeCell ref="B17:F17"/>
    <mergeCell ref="B18:F18"/>
    <mergeCell ref="B19:F19"/>
  </mergeCells>
  <pageMargins left="0.7" right="0.7" top="0.78740157499999996" bottom="0.78740157499999996" header="0.3" footer="0.3"/>
  <pageSetup paperSize="9" scale="77"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3"/>
  <sheetViews>
    <sheetView zoomScaleNormal="100" workbookViewId="0">
      <selection activeCell="B12" sqref="B12"/>
    </sheetView>
  </sheetViews>
  <sheetFormatPr baseColWidth="10" defaultRowHeight="14.4" x14ac:dyDescent="0.3"/>
  <cols>
    <col min="1" max="1" width="7.109375" customWidth="1"/>
    <col min="2" max="2" width="58.88671875" style="83" customWidth="1"/>
    <col min="3" max="3" width="39.5546875" style="83" customWidth="1"/>
    <col min="4" max="4" width="7.6640625" bestFit="1" customWidth="1"/>
  </cols>
  <sheetData>
    <row r="1" spans="1:4" ht="23.4" x14ac:dyDescent="0.3">
      <c r="A1" s="145" t="s">
        <v>87</v>
      </c>
      <c r="B1" s="145"/>
      <c r="C1" s="145"/>
    </row>
    <row r="3" spans="1:4" ht="42" customHeight="1" x14ac:dyDescent="0.3">
      <c r="B3" s="163" t="s">
        <v>88</v>
      </c>
      <c r="C3" s="163"/>
    </row>
    <row r="4" spans="1:4" ht="84" customHeight="1" x14ac:dyDescent="0.3">
      <c r="B4" s="163" t="s">
        <v>90</v>
      </c>
      <c r="C4" s="163"/>
    </row>
    <row r="5" spans="1:4" ht="66.75" customHeight="1" x14ac:dyDescent="0.3">
      <c r="B5" s="163" t="s">
        <v>89</v>
      </c>
      <c r="C5" s="163"/>
    </row>
    <row r="7" spans="1:4" ht="15" thickBot="1" x14ac:dyDescent="0.35"/>
    <row r="8" spans="1:4" ht="15" thickBot="1" x14ac:dyDescent="0.35">
      <c r="A8" s="1" t="s">
        <v>35</v>
      </c>
      <c r="B8" s="84" t="s">
        <v>86</v>
      </c>
      <c r="C8" s="84" t="s">
        <v>91</v>
      </c>
      <c r="D8" s="84" t="s">
        <v>92</v>
      </c>
    </row>
    <row r="9" spans="1:4" ht="57.6" x14ac:dyDescent="0.3">
      <c r="A9" s="15">
        <v>10</v>
      </c>
      <c r="B9" s="85" t="s">
        <v>175</v>
      </c>
      <c r="C9" s="86" t="s">
        <v>148</v>
      </c>
      <c r="D9" s="86"/>
    </row>
    <row r="10" spans="1:4" ht="92.4" x14ac:dyDescent="0.3">
      <c r="A10" s="15">
        <v>20</v>
      </c>
      <c r="B10" s="85" t="s">
        <v>177</v>
      </c>
      <c r="C10" s="86" t="s">
        <v>182</v>
      </c>
      <c r="D10" s="86"/>
    </row>
    <row r="11" spans="1:4" ht="43.2" x14ac:dyDescent="0.3">
      <c r="A11" s="15">
        <v>30</v>
      </c>
      <c r="B11" s="85" t="s">
        <v>202</v>
      </c>
      <c r="C11" s="86" t="s">
        <v>145</v>
      </c>
      <c r="D11" s="86"/>
    </row>
    <row r="12" spans="1:4" ht="28.8" x14ac:dyDescent="0.3">
      <c r="A12" s="15">
        <v>40</v>
      </c>
      <c r="B12" s="85" t="s">
        <v>146</v>
      </c>
      <c r="C12" s="86" t="s">
        <v>147</v>
      </c>
      <c r="D12" s="86"/>
    </row>
    <row r="13" spans="1:4" x14ac:dyDescent="0.3">
      <c r="A13" s="15">
        <v>50</v>
      </c>
      <c r="B13" s="85" t="s">
        <v>176</v>
      </c>
      <c r="C13" s="100" t="s">
        <v>120</v>
      </c>
      <c r="D13" s="86"/>
    </row>
    <row r="14" spans="1:4" ht="28.8" x14ac:dyDescent="0.3">
      <c r="A14" s="15">
        <v>51</v>
      </c>
      <c r="B14" s="85" t="s">
        <v>179</v>
      </c>
      <c r="C14" s="100" t="s">
        <v>181</v>
      </c>
      <c r="D14" s="86"/>
    </row>
    <row r="15" spans="1:4" ht="43.2" x14ac:dyDescent="0.3">
      <c r="A15" s="15">
        <v>52</v>
      </c>
      <c r="B15" s="85" t="s">
        <v>178</v>
      </c>
      <c r="C15" s="100" t="s">
        <v>180</v>
      </c>
      <c r="D15" s="86"/>
    </row>
    <row r="16" spans="1:4" x14ac:dyDescent="0.3">
      <c r="A16" s="15">
        <v>50</v>
      </c>
      <c r="B16" s="85"/>
      <c r="C16" s="86"/>
      <c r="D16" s="86"/>
    </row>
    <row r="17" spans="1:4" x14ac:dyDescent="0.3">
      <c r="A17" s="15">
        <v>60</v>
      </c>
      <c r="B17" s="85"/>
      <c r="C17" s="86"/>
      <c r="D17" s="87"/>
    </row>
    <row r="18" spans="1:4" x14ac:dyDescent="0.3">
      <c r="A18" s="15">
        <v>70</v>
      </c>
      <c r="B18" s="85"/>
      <c r="C18" s="86"/>
      <c r="D18" s="86"/>
    </row>
    <row r="19" spans="1:4" x14ac:dyDescent="0.3">
      <c r="A19" s="15">
        <v>80</v>
      </c>
      <c r="B19" s="85"/>
      <c r="C19" s="86"/>
      <c r="D19" s="86"/>
    </row>
    <row r="20" spans="1:4" x14ac:dyDescent="0.3">
      <c r="A20" s="15">
        <v>90</v>
      </c>
      <c r="B20" s="85"/>
      <c r="C20" s="86"/>
      <c r="D20" s="86"/>
    </row>
    <row r="21" spans="1:4" x14ac:dyDescent="0.3">
      <c r="A21" s="15">
        <v>100</v>
      </c>
      <c r="B21" s="85"/>
      <c r="C21" s="86"/>
      <c r="D21" s="86"/>
    </row>
    <row r="22" spans="1:4" ht="15" thickBot="1" x14ac:dyDescent="0.35">
      <c r="A22" s="20">
        <v>110</v>
      </c>
      <c r="B22" s="88"/>
      <c r="C22" s="99"/>
      <c r="D22" s="99"/>
    </row>
    <row r="23" spans="1:4" x14ac:dyDescent="0.3">
      <c r="A23" t="s">
        <v>139</v>
      </c>
    </row>
  </sheetData>
  <mergeCells count="4">
    <mergeCell ref="A1:C1"/>
    <mergeCell ref="B3:C3"/>
    <mergeCell ref="B4:C4"/>
    <mergeCell ref="B5:C5"/>
  </mergeCells>
  <pageMargins left="0.7" right="0.7" top="0.78740157499999996" bottom="0.78740157499999996" header="0.3" footer="0.3"/>
  <pageSetup paperSize="9" scale="77"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37"/>
  <sheetViews>
    <sheetView zoomScaleNormal="100" workbookViewId="0">
      <selection activeCell="D15" sqref="D15"/>
    </sheetView>
  </sheetViews>
  <sheetFormatPr baseColWidth="10" defaultRowHeight="14.4" x14ac:dyDescent="0.3"/>
  <cols>
    <col min="1" max="1" width="56.44140625" customWidth="1"/>
    <col min="2" max="3" width="11.6640625" customWidth="1"/>
  </cols>
  <sheetData>
    <row r="1" spans="1:3" ht="23.4" x14ac:dyDescent="0.3">
      <c r="A1" s="164" t="s">
        <v>74</v>
      </c>
      <c r="B1" s="164"/>
      <c r="C1" s="164"/>
    </row>
    <row r="2" spans="1:3" x14ac:dyDescent="0.3">
      <c r="A2" s="8"/>
      <c r="B2" s="8"/>
      <c r="C2" s="4"/>
    </row>
    <row r="3" spans="1:3" ht="28.8" customHeight="1" x14ac:dyDescent="0.3">
      <c r="A3" s="165" t="s">
        <v>129</v>
      </c>
      <c r="B3" s="165"/>
      <c r="C3" s="165"/>
    </row>
    <row r="4" spans="1:3" ht="66" customHeight="1" x14ac:dyDescent="0.3">
      <c r="A4" s="165" t="s">
        <v>130</v>
      </c>
      <c r="B4" s="165"/>
      <c r="C4" s="165"/>
    </row>
    <row r="5" spans="1:3" ht="15" thickBot="1" x14ac:dyDescent="0.35">
      <c r="A5" s="8"/>
      <c r="B5" s="8"/>
      <c r="C5" s="4"/>
    </row>
    <row r="6" spans="1:3" ht="15" thickBot="1" x14ac:dyDescent="0.35">
      <c r="A6" s="1" t="s">
        <v>75</v>
      </c>
      <c r="B6" s="1" t="s">
        <v>76</v>
      </c>
      <c r="C6" s="1" t="s">
        <v>77</v>
      </c>
    </row>
    <row r="7" spans="1:3" x14ac:dyDescent="0.3">
      <c r="A7" s="76" t="s">
        <v>78</v>
      </c>
      <c r="B7" s="77">
        <v>43899</v>
      </c>
      <c r="C7" s="77">
        <v>43776</v>
      </c>
    </row>
    <row r="8" spans="1:3" x14ac:dyDescent="0.3">
      <c r="A8" s="80" t="s">
        <v>140</v>
      </c>
      <c r="B8" s="81">
        <v>43913</v>
      </c>
      <c r="C8" s="81"/>
    </row>
    <row r="9" spans="1:3" x14ac:dyDescent="0.3">
      <c r="A9" s="25" t="s">
        <v>141</v>
      </c>
      <c r="B9" s="79">
        <v>43927</v>
      </c>
      <c r="C9" s="23"/>
    </row>
    <row r="10" spans="1:3" x14ac:dyDescent="0.3">
      <c r="A10" s="25" t="s">
        <v>142</v>
      </c>
      <c r="B10" s="81">
        <v>43969</v>
      </c>
      <c r="C10" s="23"/>
    </row>
    <row r="11" spans="1:3" x14ac:dyDescent="0.3">
      <c r="A11" s="25" t="s">
        <v>98</v>
      </c>
      <c r="B11" s="79">
        <v>43976</v>
      </c>
      <c r="C11" s="23"/>
    </row>
    <row r="12" spans="1:3" x14ac:dyDescent="0.3">
      <c r="A12" s="25" t="s">
        <v>128</v>
      </c>
      <c r="B12" s="81">
        <v>43990</v>
      </c>
      <c r="C12" s="23"/>
    </row>
    <row r="13" spans="1:3" x14ac:dyDescent="0.3">
      <c r="A13" s="25"/>
      <c r="B13" s="23"/>
      <c r="C13" s="23"/>
    </row>
    <row r="14" spans="1:3" x14ac:dyDescent="0.3">
      <c r="B14" s="79"/>
      <c r="C14" s="23"/>
    </row>
    <row r="15" spans="1:3" x14ac:dyDescent="0.3">
      <c r="A15" s="25"/>
      <c r="B15" s="23"/>
      <c r="C15" s="23"/>
    </row>
    <row r="16" spans="1:3" x14ac:dyDescent="0.3">
      <c r="A16" s="25"/>
      <c r="B16" s="23"/>
      <c r="C16" s="23"/>
    </row>
    <row r="17" spans="1:3" x14ac:dyDescent="0.3">
      <c r="A17" s="25"/>
      <c r="B17" s="79"/>
      <c r="C17" s="23"/>
    </row>
    <row r="18" spans="1:3" x14ac:dyDescent="0.3">
      <c r="A18" s="25"/>
      <c r="B18" s="23"/>
      <c r="C18" s="23"/>
    </row>
    <row r="19" spans="1:3" x14ac:dyDescent="0.3">
      <c r="A19" s="25"/>
      <c r="B19" s="23"/>
      <c r="C19" s="23"/>
    </row>
    <row r="20" spans="1:3" x14ac:dyDescent="0.3">
      <c r="A20" s="25"/>
      <c r="B20" s="79"/>
      <c r="C20" s="23"/>
    </row>
    <row r="21" spans="1:3" x14ac:dyDescent="0.3">
      <c r="A21" s="25"/>
      <c r="B21" s="23"/>
      <c r="C21" s="23"/>
    </row>
    <row r="22" spans="1:3" x14ac:dyDescent="0.3">
      <c r="A22" s="25"/>
      <c r="B22" s="23"/>
      <c r="C22" s="23"/>
    </row>
    <row r="23" spans="1:3" x14ac:dyDescent="0.3">
      <c r="A23" s="25"/>
      <c r="B23" s="23"/>
      <c r="C23" s="23"/>
    </row>
    <row r="24" spans="1:3" x14ac:dyDescent="0.3">
      <c r="A24" s="25"/>
      <c r="B24" s="23"/>
      <c r="C24" s="23"/>
    </row>
    <row r="25" spans="1:3" x14ac:dyDescent="0.3">
      <c r="A25" s="25"/>
      <c r="B25" s="23"/>
      <c r="C25" s="23"/>
    </row>
    <row r="26" spans="1:3" x14ac:dyDescent="0.3">
      <c r="A26" s="25"/>
      <c r="B26" s="23"/>
      <c r="C26" s="23"/>
    </row>
    <row r="27" spans="1:3" x14ac:dyDescent="0.3">
      <c r="A27" s="25"/>
      <c r="B27" s="23"/>
      <c r="C27" s="23"/>
    </row>
    <row r="28" spans="1:3" x14ac:dyDescent="0.3">
      <c r="A28" s="25"/>
      <c r="B28" s="23"/>
      <c r="C28" s="23"/>
    </row>
    <row r="29" spans="1:3" x14ac:dyDescent="0.3">
      <c r="A29" s="25"/>
      <c r="B29" s="23"/>
      <c r="C29" s="23"/>
    </row>
    <row r="30" spans="1:3" x14ac:dyDescent="0.3">
      <c r="A30" s="25"/>
      <c r="B30" s="23"/>
      <c r="C30" s="23"/>
    </row>
    <row r="31" spans="1:3" x14ac:dyDescent="0.3">
      <c r="A31" s="25"/>
      <c r="B31" s="23"/>
      <c r="C31" s="23"/>
    </row>
    <row r="32" spans="1:3" x14ac:dyDescent="0.3">
      <c r="A32" s="25"/>
      <c r="B32" s="23"/>
      <c r="C32" s="23"/>
    </row>
    <row r="33" spans="1:3" x14ac:dyDescent="0.3">
      <c r="A33" s="25"/>
      <c r="B33" s="23"/>
      <c r="C33" s="23"/>
    </row>
    <row r="34" spans="1:3" x14ac:dyDescent="0.3">
      <c r="A34" s="25"/>
      <c r="B34" s="23"/>
      <c r="C34" s="23"/>
    </row>
    <row r="35" spans="1:3" x14ac:dyDescent="0.3">
      <c r="A35" s="25"/>
      <c r="B35" s="23"/>
      <c r="C35" s="23"/>
    </row>
    <row r="36" spans="1:3" x14ac:dyDescent="0.3">
      <c r="A36" s="25"/>
      <c r="B36" s="23"/>
      <c r="C36" s="23"/>
    </row>
    <row r="37" spans="1:3" ht="15" thickBot="1" x14ac:dyDescent="0.35">
      <c r="A37" s="30"/>
      <c r="B37" s="24"/>
      <c r="C37" s="24"/>
    </row>
  </sheetData>
  <mergeCells count="3">
    <mergeCell ref="A1:C1"/>
    <mergeCell ref="A3:C3"/>
    <mergeCell ref="A4:C4"/>
  </mergeCells>
  <pageMargins left="0.7" right="0.7" top="0.78740157499999996" bottom="0.78740157499999996" header="0.3" footer="0.3"/>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1"/>
  <sheetViews>
    <sheetView zoomScaleNormal="100" workbookViewId="0">
      <selection activeCell="F14" sqref="F14"/>
    </sheetView>
  </sheetViews>
  <sheetFormatPr baseColWidth="10" defaultColWidth="11.44140625" defaultRowHeight="14.4" x14ac:dyDescent="0.3"/>
  <cols>
    <col min="1" max="1" width="3.44140625" style="8" customWidth="1"/>
    <col min="2" max="2" width="43.88671875" style="4" customWidth="1"/>
    <col min="3" max="3" width="9.88671875" style="8" bestFit="1" customWidth="1"/>
    <col min="4" max="4" width="11.88671875" style="4" customWidth="1"/>
    <col min="5" max="5" width="17.88671875" style="4" customWidth="1"/>
    <col min="6" max="6" width="68.6640625" style="4" customWidth="1"/>
    <col min="7" max="16384" width="11.44140625" style="4"/>
  </cols>
  <sheetData>
    <row r="1" spans="1:6" ht="23.4" x14ac:dyDescent="0.3">
      <c r="A1" s="164" t="s">
        <v>83</v>
      </c>
      <c r="B1" s="164"/>
      <c r="C1" s="164"/>
      <c r="D1" s="164"/>
      <c r="E1" s="164"/>
      <c r="F1" s="164"/>
    </row>
    <row r="2" spans="1:6" ht="15" thickBot="1" x14ac:dyDescent="0.35"/>
    <row r="3" spans="1:6" s="5" customFormat="1" ht="15" thickBot="1" x14ac:dyDescent="0.35">
      <c r="A3" s="1" t="s">
        <v>35</v>
      </c>
      <c r="B3" s="1" t="s">
        <v>30</v>
      </c>
      <c r="C3" s="1" t="s">
        <v>32</v>
      </c>
      <c r="D3" s="1" t="s">
        <v>29</v>
      </c>
      <c r="E3" s="1" t="s">
        <v>33</v>
      </c>
      <c r="F3" s="1" t="s">
        <v>31</v>
      </c>
    </row>
    <row r="4" spans="1:6" ht="57.6" x14ac:dyDescent="0.3">
      <c r="A4" s="23">
        <v>1</v>
      </c>
      <c r="B4" s="98" t="s">
        <v>144</v>
      </c>
      <c r="C4" s="23">
        <v>1</v>
      </c>
      <c r="D4" s="26">
        <v>33</v>
      </c>
      <c r="E4" s="25"/>
      <c r="F4" s="27" t="s">
        <v>143</v>
      </c>
    </row>
    <row r="5" spans="1:6" ht="28.8" x14ac:dyDescent="0.3">
      <c r="A5" s="23">
        <v>2</v>
      </c>
      <c r="B5" s="28" t="s">
        <v>185</v>
      </c>
      <c r="C5" s="23">
        <v>2</v>
      </c>
      <c r="D5" s="26">
        <v>8</v>
      </c>
      <c r="E5" s="25"/>
      <c r="F5" s="27" t="s">
        <v>183</v>
      </c>
    </row>
    <row r="6" spans="1:6" x14ac:dyDescent="0.3">
      <c r="A6" s="23">
        <v>3</v>
      </c>
      <c r="B6" s="28" t="s">
        <v>184</v>
      </c>
      <c r="C6" s="23">
        <v>1</v>
      </c>
      <c r="D6" s="26">
        <v>2.5</v>
      </c>
      <c r="E6" s="25"/>
      <c r="F6" s="27"/>
    </row>
    <row r="7" spans="1:6" x14ac:dyDescent="0.3">
      <c r="A7" s="23">
        <v>4</v>
      </c>
      <c r="B7" s="28" t="s">
        <v>186</v>
      </c>
      <c r="C7" s="23">
        <v>1</v>
      </c>
      <c r="D7" s="26">
        <v>2</v>
      </c>
      <c r="E7" s="25"/>
    </row>
    <row r="8" spans="1:6" x14ac:dyDescent="0.3">
      <c r="A8" s="23">
        <v>5</v>
      </c>
      <c r="B8" s="28" t="s">
        <v>187</v>
      </c>
      <c r="C8" s="23" t="s">
        <v>188</v>
      </c>
      <c r="D8" s="26">
        <v>0</v>
      </c>
      <c r="E8" s="25"/>
      <c r="F8" s="25" t="s">
        <v>189</v>
      </c>
    </row>
    <row r="9" spans="1:6" x14ac:dyDescent="0.3">
      <c r="A9" s="23">
        <v>6</v>
      </c>
      <c r="B9" s="28" t="s">
        <v>192</v>
      </c>
      <c r="C9" s="23">
        <v>1</v>
      </c>
      <c r="D9" s="26">
        <v>0</v>
      </c>
      <c r="E9" s="25"/>
      <c r="F9" s="25" t="s">
        <v>189</v>
      </c>
    </row>
    <row r="10" spans="1:6" x14ac:dyDescent="0.3">
      <c r="A10" s="23">
        <v>9</v>
      </c>
      <c r="B10" s="25"/>
      <c r="C10" s="23"/>
      <c r="D10" s="26"/>
      <c r="E10" s="25"/>
      <c r="F10" s="25"/>
    </row>
    <row r="11" spans="1:6" x14ac:dyDescent="0.3">
      <c r="A11" s="23">
        <v>10</v>
      </c>
      <c r="B11" s="25"/>
      <c r="C11" s="23"/>
      <c r="D11" s="26"/>
      <c r="E11" s="25"/>
      <c r="F11" s="29"/>
    </row>
    <row r="12" spans="1:6" x14ac:dyDescent="0.3">
      <c r="A12" s="23">
        <v>11</v>
      </c>
      <c r="B12" s="28"/>
      <c r="C12" s="23"/>
      <c r="D12" s="26"/>
      <c r="E12" s="25"/>
      <c r="F12" s="25"/>
    </row>
    <row r="13" spans="1:6" x14ac:dyDescent="0.3">
      <c r="A13" s="23">
        <v>12</v>
      </c>
      <c r="B13" s="25"/>
      <c r="C13" s="23"/>
      <c r="D13" s="26"/>
      <c r="E13" s="25"/>
      <c r="F13" s="25"/>
    </row>
    <row r="14" spans="1:6" x14ac:dyDescent="0.3">
      <c r="A14" s="23">
        <v>13</v>
      </c>
      <c r="B14" s="28"/>
      <c r="C14" s="23"/>
      <c r="D14" s="26"/>
      <c r="E14" s="25"/>
      <c r="F14" s="25"/>
    </row>
    <row r="15" spans="1:6" x14ac:dyDescent="0.3">
      <c r="A15" s="23">
        <v>14</v>
      </c>
      <c r="B15" s="28"/>
      <c r="C15" s="23"/>
      <c r="D15" s="26"/>
      <c r="E15" s="25"/>
      <c r="F15" s="25"/>
    </row>
    <row r="16" spans="1:6" x14ac:dyDescent="0.3">
      <c r="A16" s="23">
        <v>26</v>
      </c>
      <c r="B16" s="25"/>
      <c r="C16" s="23"/>
      <c r="D16" s="25"/>
      <c r="E16" s="25"/>
      <c r="F16" s="25"/>
    </row>
    <row r="17" spans="1:6" x14ac:dyDescent="0.3">
      <c r="A17" s="23">
        <v>27</v>
      </c>
      <c r="B17" s="25"/>
      <c r="C17" s="23"/>
      <c r="D17" s="25"/>
      <c r="E17" s="25"/>
      <c r="F17" s="25"/>
    </row>
    <row r="18" spans="1:6" x14ac:dyDescent="0.3">
      <c r="A18" s="23">
        <v>28</v>
      </c>
      <c r="B18" s="25"/>
      <c r="C18" s="23"/>
      <c r="D18" s="25"/>
      <c r="E18" s="25"/>
      <c r="F18" s="25"/>
    </row>
    <row r="19" spans="1:6" x14ac:dyDescent="0.3">
      <c r="A19" s="23">
        <v>29</v>
      </c>
      <c r="B19" s="25"/>
      <c r="C19" s="23"/>
      <c r="D19" s="25"/>
      <c r="E19" s="25"/>
      <c r="F19" s="25"/>
    </row>
    <row r="20" spans="1:6" ht="15" thickBot="1" x14ac:dyDescent="0.35">
      <c r="A20" s="24">
        <v>30</v>
      </c>
      <c r="B20" s="30"/>
      <c r="C20" s="24"/>
      <c r="D20" s="30"/>
      <c r="E20" s="30"/>
      <c r="F20" s="30"/>
    </row>
    <row r="21" spans="1:6" s="5" customFormat="1" x14ac:dyDescent="0.3">
      <c r="A21" s="7"/>
      <c r="B21" s="5" t="s">
        <v>34</v>
      </c>
      <c r="C21" s="7"/>
      <c r="D21" s="6">
        <f>SUM(D4:D20)</f>
        <v>45.5</v>
      </c>
    </row>
  </sheetData>
  <mergeCells count="1">
    <mergeCell ref="A1:F1"/>
  </mergeCells>
  <hyperlinks>
    <hyperlink ref="F4" r:id="rId1" xr:uid="{8B33B61F-DFEA-4099-80E4-D65817B84FD6}"/>
    <hyperlink ref="F5" r:id="rId2" xr:uid="{0115A034-A1F6-4817-BF62-87090ACF39A7}"/>
  </hyperlinks>
  <pageMargins left="0.7" right="0.7" top="0.78740157499999996" bottom="0.78740157499999996" header="0.3" footer="0.3"/>
  <pageSetup paperSize="9" scale="84" fitToHeight="0" orientation="landscap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8"/>
  <sheetViews>
    <sheetView zoomScale="103" zoomScaleNormal="100" workbookViewId="0">
      <selection activeCell="B13" sqref="B13"/>
    </sheetView>
  </sheetViews>
  <sheetFormatPr baseColWidth="10" defaultRowHeight="14.4" x14ac:dyDescent="0.3"/>
  <cols>
    <col min="1" max="1" width="7.109375" customWidth="1"/>
    <col min="2" max="2" width="65.88671875" customWidth="1"/>
    <col min="3" max="3" width="20.109375" style="10" customWidth="1"/>
    <col min="4" max="6" width="13.6640625" style="10" customWidth="1"/>
    <col min="7" max="8" width="14.44140625" style="10" customWidth="1"/>
    <col min="9" max="9" width="28" customWidth="1"/>
  </cols>
  <sheetData>
    <row r="1" spans="1:9" s="9" customFormat="1" ht="23.4" x14ac:dyDescent="0.3">
      <c r="A1" s="145" t="s">
        <v>25</v>
      </c>
      <c r="B1" s="145"/>
      <c r="C1" s="145"/>
      <c r="D1" s="145"/>
      <c r="E1" s="145"/>
      <c r="F1" s="145"/>
      <c r="G1" s="145"/>
      <c r="H1" s="145"/>
    </row>
    <row r="2" spans="1:9" ht="15" thickBot="1" x14ac:dyDescent="0.35"/>
    <row r="3" spans="1:9" ht="40.200000000000003" thickBot="1" x14ac:dyDescent="0.35">
      <c r="A3" s="1" t="s">
        <v>35</v>
      </c>
      <c r="B3" s="2" t="s">
        <v>48</v>
      </c>
      <c r="C3" s="2" t="s">
        <v>47</v>
      </c>
      <c r="D3" s="2" t="s">
        <v>149</v>
      </c>
      <c r="E3" s="2" t="s">
        <v>169</v>
      </c>
      <c r="F3" s="2" t="s">
        <v>170</v>
      </c>
      <c r="G3" s="2" t="s">
        <v>26</v>
      </c>
      <c r="H3" s="2" t="s">
        <v>27</v>
      </c>
      <c r="I3" s="2" t="s">
        <v>167</v>
      </c>
    </row>
    <row r="4" spans="1:9" x14ac:dyDescent="0.3">
      <c r="A4" s="13">
        <v>10</v>
      </c>
      <c r="B4" s="19" t="s">
        <v>164</v>
      </c>
      <c r="C4" s="110"/>
      <c r="D4" s="110"/>
      <c r="E4" s="14"/>
      <c r="F4" s="14"/>
      <c r="G4" s="14"/>
      <c r="H4" s="14"/>
      <c r="I4" s="104"/>
    </row>
    <row r="5" spans="1:9" x14ac:dyDescent="0.3">
      <c r="A5" s="15">
        <v>11</v>
      </c>
      <c r="B5" s="16" t="s">
        <v>165</v>
      </c>
      <c r="C5" s="17"/>
      <c r="D5" s="103"/>
      <c r="E5" s="17"/>
      <c r="F5" s="17"/>
      <c r="G5" s="102"/>
      <c r="H5" s="17"/>
      <c r="I5" s="105"/>
    </row>
    <row r="6" spans="1:9" x14ac:dyDescent="0.3">
      <c r="A6" s="15">
        <v>12</v>
      </c>
      <c r="B6" s="16" t="s">
        <v>166</v>
      </c>
      <c r="C6" s="17"/>
      <c r="D6" s="103"/>
      <c r="E6" s="17"/>
      <c r="F6" s="17"/>
      <c r="G6" s="102"/>
      <c r="H6" s="102"/>
      <c r="I6" s="105"/>
    </row>
    <row r="7" spans="1:9" x14ac:dyDescent="0.3">
      <c r="A7" s="15">
        <v>13</v>
      </c>
      <c r="B7" s="16" t="s">
        <v>68</v>
      </c>
      <c r="C7" s="17"/>
      <c r="D7" s="103"/>
      <c r="E7" s="17"/>
      <c r="F7" s="17"/>
      <c r="G7" s="102"/>
      <c r="H7" s="17"/>
      <c r="I7" s="105"/>
    </row>
    <row r="8" spans="1:9" ht="26.4" x14ac:dyDescent="0.3">
      <c r="A8" s="15">
        <v>14</v>
      </c>
      <c r="B8" s="16" t="s">
        <v>171</v>
      </c>
      <c r="C8" s="17" t="s">
        <v>16</v>
      </c>
      <c r="D8" s="103">
        <v>3</v>
      </c>
      <c r="E8" s="17">
        <v>3</v>
      </c>
      <c r="F8" s="17">
        <v>0</v>
      </c>
      <c r="G8" s="102">
        <v>43770</v>
      </c>
      <c r="H8" s="102">
        <v>43800</v>
      </c>
      <c r="I8" s="105" t="s">
        <v>174</v>
      </c>
    </row>
    <row r="9" spans="1:9" ht="39.6" x14ac:dyDescent="0.3">
      <c r="A9" s="15">
        <v>15</v>
      </c>
      <c r="B9" s="16" t="s">
        <v>172</v>
      </c>
      <c r="C9" s="17" t="s">
        <v>16</v>
      </c>
      <c r="D9" s="103" t="s">
        <v>120</v>
      </c>
      <c r="E9" s="17">
        <v>4</v>
      </c>
      <c r="F9" s="17">
        <v>0</v>
      </c>
      <c r="G9" s="102" t="s">
        <v>120</v>
      </c>
      <c r="H9" s="102">
        <v>43885</v>
      </c>
      <c r="I9" s="105" t="s">
        <v>173</v>
      </c>
    </row>
    <row r="10" spans="1:9" x14ac:dyDescent="0.3">
      <c r="A10" s="15"/>
      <c r="B10" s="16"/>
      <c r="C10" s="17"/>
      <c r="D10" s="111"/>
      <c r="E10" s="17"/>
      <c r="F10" s="17"/>
      <c r="G10" s="102"/>
      <c r="H10" s="17"/>
      <c r="I10" s="105"/>
    </row>
    <row r="11" spans="1:9" x14ac:dyDescent="0.3">
      <c r="A11" s="18">
        <v>20</v>
      </c>
      <c r="B11" s="19" t="s">
        <v>152</v>
      </c>
      <c r="C11" s="17"/>
      <c r="D11" s="111"/>
      <c r="E11" s="17"/>
      <c r="F11" s="17"/>
      <c r="G11" s="17"/>
      <c r="H11" s="17"/>
      <c r="I11" s="105"/>
    </row>
    <row r="12" spans="1:9" x14ac:dyDescent="0.3">
      <c r="A12" s="15">
        <v>21</v>
      </c>
      <c r="B12" s="16" t="s">
        <v>168</v>
      </c>
      <c r="C12" s="17"/>
      <c r="D12" s="103"/>
      <c r="E12" s="17"/>
      <c r="F12" s="17"/>
      <c r="G12" s="102"/>
      <c r="H12" s="102"/>
      <c r="I12" s="105"/>
    </row>
    <row r="13" spans="1:9" x14ac:dyDescent="0.3">
      <c r="A13" s="15">
        <v>22</v>
      </c>
      <c r="B13" s="16" t="s">
        <v>150</v>
      </c>
      <c r="C13" s="17"/>
      <c r="D13" s="103"/>
      <c r="E13" s="17"/>
      <c r="F13" s="17"/>
      <c r="G13" s="102"/>
      <c r="H13" s="102"/>
      <c r="I13" s="105"/>
    </row>
    <row r="14" spans="1:9" ht="26.4" x14ac:dyDescent="0.3">
      <c r="A14" s="15">
        <v>23</v>
      </c>
      <c r="B14" s="16" t="s">
        <v>190</v>
      </c>
      <c r="C14" s="17"/>
      <c r="D14" s="103"/>
      <c r="E14" s="17"/>
      <c r="F14" s="17"/>
      <c r="G14" s="102"/>
      <c r="H14" s="102"/>
      <c r="I14" s="105"/>
    </row>
    <row r="15" spans="1:9" x14ac:dyDescent="0.3">
      <c r="A15" s="15">
        <v>24</v>
      </c>
      <c r="B15" s="16" t="s">
        <v>191</v>
      </c>
      <c r="C15" s="17"/>
      <c r="D15" s="103"/>
      <c r="E15" s="17"/>
      <c r="F15" s="17"/>
      <c r="G15" s="102"/>
      <c r="H15" s="17"/>
      <c r="I15" s="105"/>
    </row>
    <row r="16" spans="1:9" x14ac:dyDescent="0.3">
      <c r="A16" s="116">
        <v>25</v>
      </c>
      <c r="B16" s="117" t="s">
        <v>162</v>
      </c>
      <c r="C16" s="118"/>
      <c r="D16" s="119"/>
      <c r="E16" s="111"/>
      <c r="F16" s="111"/>
      <c r="G16" s="114"/>
      <c r="H16" s="111"/>
      <c r="I16" s="115"/>
    </row>
    <row r="17" spans="1:9" x14ac:dyDescent="0.3">
      <c r="A17" s="116">
        <v>26</v>
      </c>
      <c r="B17" s="117" t="s">
        <v>163</v>
      </c>
      <c r="C17" s="118"/>
      <c r="D17" s="119"/>
      <c r="E17" s="111"/>
      <c r="F17" s="111"/>
      <c r="G17" s="114"/>
      <c r="H17" s="111"/>
      <c r="I17" s="115"/>
    </row>
    <row r="18" spans="1:9" x14ac:dyDescent="0.3">
      <c r="A18" s="15"/>
      <c r="B18" s="16"/>
      <c r="C18" s="17"/>
      <c r="D18" s="111"/>
      <c r="E18" s="17"/>
      <c r="F18" s="17"/>
      <c r="G18" s="17"/>
      <c r="H18" s="17"/>
      <c r="I18" s="105"/>
    </row>
    <row r="19" spans="1:9" x14ac:dyDescent="0.3">
      <c r="A19" s="18">
        <v>30</v>
      </c>
      <c r="B19" s="19" t="s">
        <v>151</v>
      </c>
      <c r="C19" s="17"/>
      <c r="D19" s="111"/>
      <c r="E19" s="17"/>
      <c r="F19" s="17"/>
      <c r="G19" s="17"/>
      <c r="H19" s="17"/>
      <c r="I19" s="105"/>
    </row>
    <row r="20" spans="1:9" x14ac:dyDescent="0.3">
      <c r="A20" s="15">
        <v>31</v>
      </c>
      <c r="B20" s="16" t="s">
        <v>153</v>
      </c>
      <c r="C20" s="17"/>
      <c r="D20" s="103"/>
      <c r="E20" s="17"/>
      <c r="F20" s="17"/>
      <c r="G20" s="102"/>
      <c r="H20" s="102"/>
      <c r="I20" s="105"/>
    </row>
    <row r="21" spans="1:9" x14ac:dyDescent="0.3">
      <c r="A21" s="15">
        <v>32</v>
      </c>
      <c r="B21" s="16" t="s">
        <v>154</v>
      </c>
      <c r="C21" s="17"/>
      <c r="D21" s="103"/>
      <c r="E21" s="17"/>
      <c r="F21" s="17"/>
      <c r="G21" s="102"/>
      <c r="H21" s="102"/>
      <c r="I21" s="105"/>
    </row>
    <row r="22" spans="1:9" ht="26.4" x14ac:dyDescent="0.3">
      <c r="A22" s="15">
        <v>33</v>
      </c>
      <c r="B22" s="16" t="s">
        <v>193</v>
      </c>
      <c r="C22" s="17"/>
      <c r="D22" s="103"/>
      <c r="E22" s="17"/>
      <c r="F22" s="17"/>
      <c r="G22" s="102"/>
      <c r="H22" s="17"/>
      <c r="I22" s="105"/>
    </row>
    <row r="23" spans="1:9" ht="26.4" x14ac:dyDescent="0.3">
      <c r="A23" s="15">
        <v>34</v>
      </c>
      <c r="B23" s="16" t="s">
        <v>194</v>
      </c>
      <c r="C23" s="17"/>
      <c r="D23" s="103"/>
      <c r="E23" s="17"/>
      <c r="F23" s="17"/>
      <c r="G23" s="102"/>
      <c r="H23" s="17"/>
      <c r="I23" s="105"/>
    </row>
    <row r="24" spans="1:9" ht="26.4" x14ac:dyDescent="0.3">
      <c r="A24" s="15">
        <v>35</v>
      </c>
      <c r="B24" s="16" t="s">
        <v>195</v>
      </c>
      <c r="C24" s="17"/>
      <c r="D24" s="103"/>
      <c r="E24" s="17"/>
      <c r="F24" s="17"/>
      <c r="G24" s="102"/>
      <c r="H24" s="17"/>
      <c r="I24" s="105"/>
    </row>
    <row r="25" spans="1:9" x14ac:dyDescent="0.3">
      <c r="A25" s="116">
        <v>36</v>
      </c>
      <c r="B25" s="117" t="s">
        <v>155</v>
      </c>
      <c r="C25" s="118"/>
      <c r="D25" s="119"/>
      <c r="E25" s="111"/>
      <c r="F25" s="111"/>
      <c r="G25" s="111"/>
      <c r="H25" s="111"/>
      <c r="I25" s="115"/>
    </row>
    <row r="26" spans="1:9" x14ac:dyDescent="0.3">
      <c r="A26" s="15"/>
      <c r="B26" s="16"/>
      <c r="C26" s="17"/>
      <c r="D26" s="111"/>
      <c r="E26" s="17"/>
      <c r="F26" s="17"/>
      <c r="G26" s="17"/>
      <c r="H26" s="17"/>
      <c r="I26" s="105"/>
    </row>
    <row r="27" spans="1:9" x14ac:dyDescent="0.3">
      <c r="A27" s="18">
        <v>40</v>
      </c>
      <c r="B27" s="19" t="s">
        <v>156</v>
      </c>
      <c r="C27" s="17"/>
      <c r="D27" s="111"/>
      <c r="E27" s="17"/>
      <c r="F27" s="17"/>
      <c r="G27" s="17"/>
      <c r="H27" s="17"/>
      <c r="I27" s="105"/>
    </row>
    <row r="28" spans="1:9" x14ac:dyDescent="0.3">
      <c r="A28" s="32">
        <v>41</v>
      </c>
      <c r="B28" s="16" t="s">
        <v>157</v>
      </c>
      <c r="C28" s="17"/>
      <c r="D28" s="109"/>
      <c r="E28" s="31"/>
      <c r="F28" s="31"/>
      <c r="G28" s="102"/>
      <c r="H28" s="31"/>
      <c r="I28" s="106"/>
    </row>
    <row r="29" spans="1:9" x14ac:dyDescent="0.3">
      <c r="A29" s="32">
        <v>42</v>
      </c>
      <c r="B29" s="101" t="s">
        <v>158</v>
      </c>
      <c r="C29" s="17"/>
      <c r="D29" s="109"/>
      <c r="E29" s="31"/>
      <c r="F29" s="31"/>
      <c r="G29" s="102"/>
      <c r="H29" s="31"/>
      <c r="I29" s="106"/>
    </row>
    <row r="30" spans="1:9" x14ac:dyDescent="0.3">
      <c r="A30" s="32">
        <v>43</v>
      </c>
      <c r="B30" s="101" t="s">
        <v>159</v>
      </c>
      <c r="C30" s="17"/>
      <c r="D30" s="109"/>
      <c r="E30" s="31"/>
      <c r="F30" s="31"/>
      <c r="G30" s="102"/>
      <c r="H30" s="31"/>
      <c r="I30" s="106"/>
    </row>
    <row r="31" spans="1:9" x14ac:dyDescent="0.3">
      <c r="A31" s="32">
        <v>44</v>
      </c>
      <c r="B31" s="101" t="s">
        <v>161</v>
      </c>
      <c r="C31" s="17"/>
      <c r="D31" s="109"/>
      <c r="E31" s="31"/>
      <c r="F31" s="31"/>
      <c r="G31" s="102"/>
      <c r="H31" s="31"/>
      <c r="I31" s="106"/>
    </row>
    <row r="32" spans="1:9" x14ac:dyDescent="0.3">
      <c r="A32" s="120">
        <v>45</v>
      </c>
      <c r="B32" s="121" t="s">
        <v>160</v>
      </c>
      <c r="C32" s="122"/>
      <c r="D32" s="123"/>
      <c r="E32" s="31"/>
      <c r="F32" s="31"/>
      <c r="G32" s="102"/>
      <c r="H32" s="31"/>
      <c r="I32" s="106"/>
    </row>
    <row r="33" spans="1:9" x14ac:dyDescent="0.3">
      <c r="A33" s="32"/>
      <c r="B33" s="101"/>
      <c r="C33" s="31"/>
      <c r="D33" s="112"/>
      <c r="E33" s="31"/>
      <c r="F33" s="31"/>
      <c r="G33" s="31"/>
      <c r="H33" s="31"/>
      <c r="I33" s="106"/>
    </row>
    <row r="34" spans="1:9" x14ac:dyDescent="0.3">
      <c r="A34" s="32"/>
      <c r="B34" s="101"/>
      <c r="C34" s="31"/>
      <c r="D34" s="112"/>
      <c r="E34" s="31"/>
      <c r="F34" s="31"/>
      <c r="G34" s="31"/>
      <c r="H34" s="31"/>
      <c r="I34" s="106"/>
    </row>
    <row r="35" spans="1:9" x14ac:dyDescent="0.3">
      <c r="A35" s="32"/>
      <c r="B35" s="101"/>
      <c r="C35" s="31"/>
      <c r="D35" s="112"/>
      <c r="E35" s="31"/>
      <c r="F35" s="31"/>
      <c r="G35" s="31"/>
      <c r="H35" s="31"/>
      <c r="I35" s="106"/>
    </row>
    <row r="36" spans="1:9" ht="15" thickBot="1" x14ac:dyDescent="0.35">
      <c r="A36" s="20"/>
      <c r="B36" s="21"/>
      <c r="C36" s="22"/>
      <c r="D36" s="113"/>
      <c r="E36" s="22"/>
      <c r="F36" s="22"/>
      <c r="G36" s="22"/>
      <c r="H36" s="22"/>
      <c r="I36" s="107"/>
    </row>
    <row r="37" spans="1:9" x14ac:dyDescent="0.3">
      <c r="D37" s="10">
        <f>SUM(D11:D36)</f>
        <v>0</v>
      </c>
      <c r="E37" s="10">
        <f>SUM(E11:E36)</f>
        <v>0</v>
      </c>
      <c r="F37" s="10">
        <f>SUM(F11:F36)</f>
        <v>0</v>
      </c>
      <c r="I37" s="108"/>
    </row>
    <row r="38" spans="1:9" x14ac:dyDescent="0.3">
      <c r="I38" s="108"/>
    </row>
  </sheetData>
  <autoFilter ref="A3:I9" xr:uid="{1DD3AEAA-94C2-470D-B0C0-AF95E418F66F}"/>
  <mergeCells count="1">
    <mergeCell ref="A1:H1"/>
  </mergeCells>
  <pageMargins left="0.7" right="0.7" top="0.78740157499999996" bottom="0.78740157499999996" header="0.3" footer="0.3"/>
  <pageSetup paperSize="9" scale="68"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51"/>
  <sheetViews>
    <sheetView zoomScaleNormal="100" workbookViewId="0">
      <selection activeCell="A7" sqref="A7"/>
    </sheetView>
  </sheetViews>
  <sheetFormatPr baseColWidth="10" defaultColWidth="11.44140625" defaultRowHeight="14.4" x14ac:dyDescent="0.3"/>
  <cols>
    <col min="1" max="1" width="5.88671875" style="10" customWidth="1"/>
    <col min="2" max="2" width="7.6640625" style="9" customWidth="1"/>
    <col min="3" max="3" width="13" style="9" customWidth="1"/>
    <col min="4" max="4" width="11.109375" style="124" customWidth="1"/>
    <col min="5" max="5" width="51.44140625" style="9" customWidth="1"/>
    <col min="6" max="6" width="8.6640625" style="9" customWidth="1"/>
    <col min="7" max="7" width="10.33203125" style="9" customWidth="1"/>
    <col min="8" max="8" width="18.88671875" style="9" customWidth="1"/>
    <col min="9" max="9" width="12.109375" style="124" customWidth="1"/>
    <col min="10" max="10" width="38.6640625" style="9" customWidth="1"/>
    <col min="11" max="11" width="20.109375" style="9" customWidth="1"/>
    <col min="12" max="16384" width="11.44140625" style="9"/>
  </cols>
  <sheetData>
    <row r="1" spans="1:11" ht="21" x14ac:dyDescent="0.3">
      <c r="A1" s="166" t="s">
        <v>0</v>
      </c>
      <c r="B1" s="166"/>
      <c r="C1" s="166"/>
      <c r="D1" s="166"/>
      <c r="E1" s="166"/>
      <c r="F1" s="166"/>
      <c r="G1" s="166"/>
      <c r="H1" s="166"/>
      <c r="I1" s="166"/>
      <c r="J1" s="166"/>
      <c r="K1" s="166"/>
    </row>
    <row r="2" spans="1:11" ht="15" thickBot="1" x14ac:dyDescent="0.35"/>
    <row r="3" spans="1:11" ht="15" thickBot="1" x14ac:dyDescent="0.35">
      <c r="A3" s="12" t="s">
        <v>35</v>
      </c>
      <c r="B3" s="12" t="s">
        <v>1</v>
      </c>
      <c r="C3" s="12" t="s">
        <v>2</v>
      </c>
      <c r="D3" s="125" t="s">
        <v>3</v>
      </c>
      <c r="E3" s="12" t="s">
        <v>4</v>
      </c>
      <c r="F3" s="12" t="s">
        <v>5</v>
      </c>
      <c r="G3" s="12" t="s">
        <v>6</v>
      </c>
      <c r="H3" s="12" t="s">
        <v>7</v>
      </c>
      <c r="I3" s="125" t="s">
        <v>8</v>
      </c>
      <c r="J3" s="12" t="s">
        <v>9</v>
      </c>
      <c r="K3" s="12" t="s">
        <v>10</v>
      </c>
    </row>
    <row r="4" spans="1:11" x14ac:dyDescent="0.3">
      <c r="A4" s="33">
        <f t="shared" ref="A4:A33" si="0">ROW()-3</f>
        <v>1</v>
      </c>
      <c r="B4" s="34" t="s">
        <v>11</v>
      </c>
      <c r="C4" s="35" t="s">
        <v>16</v>
      </c>
      <c r="D4" s="126">
        <v>43833</v>
      </c>
      <c r="E4" s="36" t="s">
        <v>196</v>
      </c>
      <c r="F4" s="35" t="s">
        <v>12</v>
      </c>
      <c r="G4" s="35" t="s">
        <v>14</v>
      </c>
      <c r="H4" s="35" t="s">
        <v>16</v>
      </c>
      <c r="I4" s="126">
        <v>43885</v>
      </c>
      <c r="J4" s="36" t="s">
        <v>197</v>
      </c>
      <c r="K4" s="37"/>
    </row>
    <row r="5" spans="1:11" x14ac:dyDescent="0.3">
      <c r="A5" s="38">
        <f t="shared" si="0"/>
        <v>2</v>
      </c>
      <c r="B5" s="39" t="s">
        <v>11</v>
      </c>
      <c r="C5" s="40" t="s">
        <v>16</v>
      </c>
      <c r="D5" s="127">
        <v>43884</v>
      </c>
      <c r="E5" s="28" t="s">
        <v>198</v>
      </c>
      <c r="F5" s="40" t="s">
        <v>21</v>
      </c>
      <c r="G5" s="40" t="s">
        <v>13</v>
      </c>
      <c r="H5" s="40" t="s">
        <v>16</v>
      </c>
      <c r="I5" s="127">
        <v>43899</v>
      </c>
      <c r="J5" s="28"/>
      <c r="K5" s="41"/>
    </row>
    <row r="6" spans="1:11" x14ac:dyDescent="0.3">
      <c r="A6" s="38">
        <f t="shared" si="0"/>
        <v>3</v>
      </c>
      <c r="B6" s="39" t="s">
        <v>15</v>
      </c>
      <c r="C6" s="40" t="s">
        <v>16</v>
      </c>
      <c r="D6" s="127">
        <v>43893</v>
      </c>
      <c r="E6" s="28" t="s">
        <v>200</v>
      </c>
      <c r="F6" s="40" t="s">
        <v>21</v>
      </c>
      <c r="G6" s="40" t="s">
        <v>13</v>
      </c>
      <c r="H6" s="40" t="s">
        <v>16</v>
      </c>
      <c r="I6" s="127">
        <v>43906</v>
      </c>
      <c r="J6" s="28"/>
      <c r="K6" s="41"/>
    </row>
    <row r="7" spans="1:11" x14ac:dyDescent="0.3">
      <c r="A7" s="38">
        <f t="shared" si="0"/>
        <v>4</v>
      </c>
      <c r="B7" s="39" t="s">
        <v>11</v>
      </c>
      <c r="C7" s="40" t="s">
        <v>16</v>
      </c>
      <c r="D7" s="127">
        <v>43893</v>
      </c>
      <c r="E7" s="28" t="s">
        <v>199</v>
      </c>
      <c r="F7" s="40" t="s">
        <v>12</v>
      </c>
      <c r="G7" s="40" t="s">
        <v>14</v>
      </c>
      <c r="H7" s="40" t="s">
        <v>16</v>
      </c>
      <c r="I7" s="127">
        <v>43899</v>
      </c>
      <c r="J7" s="41"/>
      <c r="K7" s="41"/>
    </row>
    <row r="8" spans="1:11" x14ac:dyDescent="0.3">
      <c r="A8" s="38">
        <f t="shared" si="0"/>
        <v>5</v>
      </c>
      <c r="B8" s="38"/>
      <c r="C8" s="40"/>
      <c r="D8" s="127"/>
      <c r="E8" s="42"/>
      <c r="F8" s="40"/>
      <c r="G8" s="40"/>
      <c r="H8" s="40"/>
      <c r="I8" s="127"/>
      <c r="J8" s="41"/>
      <c r="K8" s="41"/>
    </row>
    <row r="9" spans="1:11" x14ac:dyDescent="0.3">
      <c r="A9" s="38">
        <f t="shared" si="0"/>
        <v>6</v>
      </c>
      <c r="B9" s="38"/>
      <c r="C9" s="40"/>
      <c r="D9" s="127"/>
      <c r="E9" s="42"/>
      <c r="F9" s="40"/>
      <c r="G9" s="40"/>
      <c r="H9" s="40"/>
      <c r="I9" s="127"/>
      <c r="J9" s="41"/>
      <c r="K9" s="41"/>
    </row>
    <row r="10" spans="1:11" x14ac:dyDescent="0.3">
      <c r="A10" s="38">
        <f t="shared" si="0"/>
        <v>7</v>
      </c>
      <c r="B10" s="38"/>
      <c r="C10" s="40"/>
      <c r="D10" s="127"/>
      <c r="E10" s="42"/>
      <c r="F10" s="40"/>
      <c r="G10" s="40"/>
      <c r="H10" s="40"/>
      <c r="I10" s="127"/>
      <c r="J10" s="41"/>
      <c r="K10" s="40"/>
    </row>
    <row r="11" spans="1:11" x14ac:dyDescent="0.3">
      <c r="A11" s="38">
        <f t="shared" si="0"/>
        <v>8</v>
      </c>
      <c r="B11" s="38"/>
      <c r="C11" s="40"/>
      <c r="D11" s="127"/>
      <c r="E11" s="42"/>
      <c r="F11" s="40"/>
      <c r="G11" s="40"/>
      <c r="H11" s="40"/>
      <c r="I11" s="127"/>
      <c r="J11" s="41"/>
      <c r="K11" s="40"/>
    </row>
    <row r="12" spans="1:11" x14ac:dyDescent="0.3">
      <c r="A12" s="38">
        <f t="shared" si="0"/>
        <v>9</v>
      </c>
      <c r="B12" s="39"/>
      <c r="C12" s="40"/>
      <c r="D12" s="127"/>
      <c r="E12" s="28"/>
      <c r="F12" s="40"/>
      <c r="G12" s="40"/>
      <c r="H12" s="40"/>
      <c r="I12" s="127"/>
      <c r="J12" s="28"/>
      <c r="K12" s="40"/>
    </row>
    <row r="13" spans="1:11" x14ac:dyDescent="0.3">
      <c r="A13" s="38">
        <f t="shared" si="0"/>
        <v>10</v>
      </c>
      <c r="B13" s="38"/>
      <c r="C13" s="40"/>
      <c r="D13" s="127"/>
      <c r="E13" s="42"/>
      <c r="F13" s="40"/>
      <c r="G13" s="40"/>
      <c r="H13" s="40"/>
      <c r="I13" s="127"/>
      <c r="J13" s="41"/>
      <c r="K13" s="40"/>
    </row>
    <row r="14" spans="1:11" x14ac:dyDescent="0.3">
      <c r="A14" s="38">
        <f t="shared" si="0"/>
        <v>11</v>
      </c>
      <c r="B14" s="38"/>
      <c r="C14" s="40"/>
      <c r="D14" s="127"/>
      <c r="E14" s="42"/>
      <c r="F14" s="40"/>
      <c r="G14" s="40"/>
      <c r="H14" s="40"/>
      <c r="I14" s="127"/>
      <c r="J14" s="41"/>
      <c r="K14" s="41"/>
    </row>
    <row r="15" spans="1:11" x14ac:dyDescent="0.3">
      <c r="A15" s="38">
        <f t="shared" si="0"/>
        <v>12</v>
      </c>
      <c r="B15" s="38"/>
      <c r="C15" s="40"/>
      <c r="D15" s="127"/>
      <c r="E15" s="42"/>
      <c r="F15" s="40"/>
      <c r="G15" s="40"/>
      <c r="H15" s="40"/>
      <c r="I15" s="127"/>
      <c r="J15" s="41"/>
      <c r="K15" s="40"/>
    </row>
    <row r="16" spans="1:11" x14ac:dyDescent="0.3">
      <c r="A16" s="38">
        <f t="shared" si="0"/>
        <v>13</v>
      </c>
      <c r="B16" s="38"/>
      <c r="C16" s="40"/>
      <c r="D16" s="127"/>
      <c r="E16" s="42"/>
      <c r="F16" s="40"/>
      <c r="G16" s="40"/>
      <c r="H16" s="40"/>
      <c r="I16" s="127"/>
      <c r="J16" s="41"/>
      <c r="K16" s="40"/>
    </row>
    <row r="17" spans="1:11" x14ac:dyDescent="0.3">
      <c r="A17" s="38">
        <f t="shared" si="0"/>
        <v>14</v>
      </c>
      <c r="B17" s="38"/>
      <c r="C17" s="40"/>
      <c r="D17" s="127"/>
      <c r="E17" s="42"/>
      <c r="F17" s="40"/>
      <c r="G17" s="40"/>
      <c r="H17" s="40"/>
      <c r="I17" s="127"/>
      <c r="J17" s="41"/>
      <c r="K17" s="40"/>
    </row>
    <row r="18" spans="1:11" x14ac:dyDescent="0.3">
      <c r="A18" s="38">
        <f t="shared" si="0"/>
        <v>15</v>
      </c>
      <c r="B18" s="38"/>
      <c r="C18" s="40"/>
      <c r="D18" s="127"/>
      <c r="E18" s="41"/>
      <c r="F18" s="40"/>
      <c r="G18" s="40"/>
      <c r="H18" s="40"/>
      <c r="I18" s="127"/>
      <c r="J18" s="40"/>
      <c r="K18" s="40"/>
    </row>
    <row r="19" spans="1:11" x14ac:dyDescent="0.3">
      <c r="A19" s="38">
        <f t="shared" si="0"/>
        <v>16</v>
      </c>
      <c r="B19" s="38"/>
      <c r="C19" s="40"/>
      <c r="D19" s="127"/>
      <c r="E19" s="42"/>
      <c r="F19" s="40"/>
      <c r="G19" s="40"/>
      <c r="H19" s="40"/>
      <c r="I19" s="127"/>
      <c r="J19" s="41"/>
      <c r="K19" s="40"/>
    </row>
    <row r="20" spans="1:11" x14ac:dyDescent="0.3">
      <c r="A20" s="38">
        <f t="shared" si="0"/>
        <v>17</v>
      </c>
      <c r="B20" s="38"/>
      <c r="C20" s="40"/>
      <c r="D20" s="127"/>
      <c r="E20" s="42"/>
      <c r="F20" s="40"/>
      <c r="G20" s="40"/>
      <c r="H20" s="40"/>
      <c r="I20" s="127"/>
      <c r="J20" s="41"/>
      <c r="K20" s="40"/>
    </row>
    <row r="21" spans="1:11" x14ac:dyDescent="0.3">
      <c r="A21" s="38">
        <f t="shared" si="0"/>
        <v>18</v>
      </c>
      <c r="B21" s="38"/>
      <c r="C21" s="40"/>
      <c r="D21" s="127"/>
      <c r="E21" s="42"/>
      <c r="F21" s="40"/>
      <c r="G21" s="40"/>
      <c r="H21" s="40"/>
      <c r="I21" s="127"/>
      <c r="J21" s="41"/>
      <c r="K21" s="40"/>
    </row>
    <row r="22" spans="1:11" x14ac:dyDescent="0.3">
      <c r="A22" s="38">
        <f t="shared" si="0"/>
        <v>19</v>
      </c>
      <c r="B22" s="38"/>
      <c r="C22" s="40"/>
      <c r="D22" s="127"/>
      <c r="E22" s="42"/>
      <c r="F22" s="40"/>
      <c r="G22" s="40"/>
      <c r="H22" s="40"/>
      <c r="I22" s="127"/>
      <c r="J22" s="41"/>
      <c r="K22" s="40"/>
    </row>
    <row r="23" spans="1:11" ht="18" customHeight="1" x14ac:dyDescent="0.3">
      <c r="A23" s="38">
        <f t="shared" si="0"/>
        <v>20</v>
      </c>
      <c r="B23" s="38"/>
      <c r="C23" s="40"/>
      <c r="D23" s="127"/>
      <c r="E23" s="42"/>
      <c r="F23" s="40"/>
      <c r="G23" s="40"/>
      <c r="H23" s="40"/>
      <c r="I23" s="127"/>
      <c r="J23" s="41"/>
      <c r="K23" s="40"/>
    </row>
    <row r="24" spans="1:11" x14ac:dyDescent="0.3">
      <c r="A24" s="38">
        <f t="shared" si="0"/>
        <v>21</v>
      </c>
      <c r="B24" s="38"/>
      <c r="C24" s="40"/>
      <c r="D24" s="127"/>
      <c r="E24" s="42"/>
      <c r="F24" s="40"/>
      <c r="G24" s="40"/>
      <c r="H24" s="40"/>
      <c r="I24" s="127"/>
      <c r="J24" s="41"/>
      <c r="K24" s="40"/>
    </row>
    <row r="25" spans="1:11" x14ac:dyDescent="0.3">
      <c r="A25" s="38">
        <f t="shared" si="0"/>
        <v>22</v>
      </c>
      <c r="B25" s="38"/>
      <c r="C25" s="40"/>
      <c r="D25" s="127"/>
      <c r="E25" s="42"/>
      <c r="F25" s="40"/>
      <c r="G25" s="40"/>
      <c r="H25" s="40"/>
      <c r="I25" s="127"/>
      <c r="J25" s="41"/>
      <c r="K25" s="40"/>
    </row>
    <row r="26" spans="1:11" ht="19.5" customHeight="1" x14ac:dyDescent="0.3">
      <c r="A26" s="38">
        <f t="shared" si="0"/>
        <v>23</v>
      </c>
      <c r="B26" s="38"/>
      <c r="C26" s="40"/>
      <c r="D26" s="127"/>
      <c r="E26" s="42"/>
      <c r="F26" s="40"/>
      <c r="G26" s="40"/>
      <c r="H26" s="40"/>
      <c r="I26" s="127"/>
      <c r="J26" s="41"/>
      <c r="K26" s="40"/>
    </row>
    <row r="27" spans="1:11" x14ac:dyDescent="0.3">
      <c r="A27" s="38">
        <f t="shared" si="0"/>
        <v>24</v>
      </c>
      <c r="B27" s="38"/>
      <c r="C27" s="40"/>
      <c r="D27" s="127"/>
      <c r="E27" s="42"/>
      <c r="F27" s="40"/>
      <c r="G27" s="40"/>
      <c r="H27" s="40"/>
      <c r="I27" s="127"/>
      <c r="J27" s="41"/>
      <c r="K27" s="40"/>
    </row>
    <row r="28" spans="1:11" x14ac:dyDescent="0.3">
      <c r="A28" s="38">
        <f t="shared" si="0"/>
        <v>25</v>
      </c>
      <c r="B28" s="38"/>
      <c r="C28" s="40"/>
      <c r="D28" s="127"/>
      <c r="E28" s="42"/>
      <c r="F28" s="40"/>
      <c r="G28" s="40"/>
      <c r="H28" s="40"/>
      <c r="I28" s="127"/>
      <c r="J28" s="41"/>
      <c r="K28" s="40"/>
    </row>
    <row r="29" spans="1:11" x14ac:dyDescent="0.3">
      <c r="A29" s="38">
        <f t="shared" si="0"/>
        <v>26</v>
      </c>
      <c r="B29" s="38"/>
      <c r="C29" s="40"/>
      <c r="D29" s="127"/>
      <c r="E29" s="42"/>
      <c r="F29" s="40"/>
      <c r="G29" s="40"/>
      <c r="H29" s="40"/>
      <c r="I29" s="127"/>
      <c r="J29" s="41"/>
      <c r="K29" s="40"/>
    </row>
    <row r="30" spans="1:11" x14ac:dyDescent="0.3">
      <c r="A30" s="38">
        <f t="shared" si="0"/>
        <v>27</v>
      </c>
      <c r="B30" s="38"/>
      <c r="C30" s="40"/>
      <c r="D30" s="127"/>
      <c r="E30" s="42"/>
      <c r="F30" s="40"/>
      <c r="G30" s="40"/>
      <c r="H30" s="40"/>
      <c r="I30" s="127"/>
      <c r="J30" s="41"/>
      <c r="K30" s="40"/>
    </row>
    <row r="31" spans="1:11" x14ac:dyDescent="0.3">
      <c r="A31" s="38">
        <f t="shared" si="0"/>
        <v>28</v>
      </c>
      <c r="B31" s="38"/>
      <c r="C31" s="40"/>
      <c r="D31" s="127"/>
      <c r="E31" s="42"/>
      <c r="F31" s="40"/>
      <c r="G31" s="40"/>
      <c r="H31" s="40"/>
      <c r="I31" s="127"/>
      <c r="J31" s="41"/>
      <c r="K31" s="40"/>
    </row>
    <row r="32" spans="1:11" x14ac:dyDescent="0.3">
      <c r="A32" s="38">
        <f t="shared" si="0"/>
        <v>29</v>
      </c>
      <c r="B32" s="38"/>
      <c r="C32" s="40"/>
      <c r="D32" s="127"/>
      <c r="E32" s="42"/>
      <c r="F32" s="40"/>
      <c r="G32" s="40"/>
      <c r="H32" s="40"/>
      <c r="I32" s="127"/>
      <c r="J32" s="41"/>
      <c r="K32" s="40"/>
    </row>
    <row r="33" spans="1:11" ht="15" thickBot="1" x14ac:dyDescent="0.35">
      <c r="A33" s="43">
        <f t="shared" si="0"/>
        <v>30</v>
      </c>
      <c r="B33" s="43"/>
      <c r="C33" s="44"/>
      <c r="D33" s="128"/>
      <c r="E33" s="45"/>
      <c r="F33" s="44"/>
      <c r="G33" s="44"/>
      <c r="H33" s="44"/>
      <c r="I33" s="128"/>
      <c r="J33" s="46"/>
      <c r="K33" s="44"/>
    </row>
    <row r="34" spans="1:11" x14ac:dyDescent="0.3">
      <c r="A34" s="47"/>
      <c r="B34" s="47"/>
      <c r="C34" s="48"/>
      <c r="D34" s="129"/>
      <c r="E34" s="49"/>
      <c r="F34" s="48"/>
      <c r="G34" s="48"/>
      <c r="H34" s="48"/>
      <c r="I34" s="129"/>
      <c r="J34" s="50"/>
      <c r="K34" s="48"/>
    </row>
    <row r="35" spans="1:11" x14ac:dyDescent="0.3">
      <c r="A35" s="51"/>
      <c r="B35" s="51"/>
      <c r="C35" s="52"/>
      <c r="E35" s="53"/>
      <c r="F35" s="52"/>
      <c r="G35" s="52"/>
      <c r="H35" s="52"/>
      <c r="J35" s="54"/>
      <c r="K35" s="52"/>
    </row>
    <row r="36" spans="1:11" x14ac:dyDescent="0.3">
      <c r="B36" s="9" t="s">
        <v>18</v>
      </c>
      <c r="F36" s="9" t="s">
        <v>12</v>
      </c>
      <c r="G36" s="9" t="s">
        <v>19</v>
      </c>
    </row>
    <row r="37" spans="1:11" x14ac:dyDescent="0.3">
      <c r="B37" s="9" t="s">
        <v>20</v>
      </c>
      <c r="F37" s="9" t="s">
        <v>21</v>
      </c>
      <c r="G37" s="9" t="s">
        <v>13</v>
      </c>
    </row>
    <row r="38" spans="1:11" x14ac:dyDescent="0.3">
      <c r="B38" s="9" t="s">
        <v>22</v>
      </c>
      <c r="F38" s="9" t="s">
        <v>17</v>
      </c>
      <c r="G38" s="9" t="s">
        <v>14</v>
      </c>
    </row>
    <row r="39" spans="1:11" x14ac:dyDescent="0.3">
      <c r="G39" s="9" t="s">
        <v>23</v>
      </c>
    </row>
    <row r="45" spans="1:11" x14ac:dyDescent="0.3">
      <c r="E45" s="55"/>
    </row>
    <row r="51" spans="5:5" x14ac:dyDescent="0.3">
      <c r="E51" s="4"/>
    </row>
  </sheetData>
  <mergeCells count="1">
    <mergeCell ref="A1:K1"/>
  </mergeCells>
  <pageMargins left="0.7" right="0.7" top="0.78740157499999996" bottom="0.78740157499999996" header="0.3" footer="0.3"/>
  <pageSetup paperSize="9" scale="66" fitToHeight="0" orientation="landscape"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33"/>
  <sheetViews>
    <sheetView workbookViewId="0">
      <selection activeCell="G26" sqref="G26"/>
    </sheetView>
  </sheetViews>
  <sheetFormatPr baseColWidth="10" defaultColWidth="11.44140625" defaultRowHeight="14.4" x14ac:dyDescent="0.3"/>
  <cols>
    <col min="1" max="1" width="3.88671875" style="4" customWidth="1"/>
    <col min="2" max="2" width="55" style="4" customWidth="1"/>
    <col min="3" max="5" width="4.88671875" style="8" customWidth="1"/>
    <col min="6" max="6" width="8.5546875" style="4" bestFit="1" customWidth="1"/>
    <col min="7" max="7" width="59.44140625" style="4" customWidth="1"/>
    <col min="8" max="8" width="15.88671875" style="4" customWidth="1"/>
    <col min="9" max="16384" width="11.44140625" style="4"/>
  </cols>
  <sheetData>
    <row r="1" spans="1:8" ht="23.4" x14ac:dyDescent="0.3">
      <c r="A1" s="164" t="s">
        <v>28</v>
      </c>
      <c r="B1" s="164"/>
      <c r="C1" s="164"/>
      <c r="D1" s="164"/>
      <c r="E1" s="164"/>
      <c r="F1" s="164"/>
      <c r="G1" s="164"/>
      <c r="H1" s="164"/>
    </row>
    <row r="2" spans="1:8" ht="15" thickBot="1" x14ac:dyDescent="0.35">
      <c r="E2" s="11"/>
    </row>
    <row r="3" spans="1:8" s="5" customFormat="1" ht="15" thickBot="1" x14ac:dyDescent="0.35">
      <c r="A3" s="1" t="s">
        <v>35</v>
      </c>
      <c r="B3" s="1" t="s">
        <v>39</v>
      </c>
      <c r="C3" s="1" t="s">
        <v>11</v>
      </c>
      <c r="D3" s="1" t="s">
        <v>36</v>
      </c>
      <c r="E3" s="1" t="s">
        <v>37</v>
      </c>
      <c r="F3" s="1" t="s">
        <v>38</v>
      </c>
      <c r="G3" s="1" t="s">
        <v>40</v>
      </c>
      <c r="H3" s="1" t="s">
        <v>41</v>
      </c>
    </row>
    <row r="4" spans="1:8" ht="28.8" x14ac:dyDescent="0.3">
      <c r="A4" s="25">
        <v>1</v>
      </c>
      <c r="B4" s="25" t="s">
        <v>43</v>
      </c>
      <c r="C4" s="23">
        <v>4</v>
      </c>
      <c r="D4" s="23">
        <v>4</v>
      </c>
      <c r="E4" s="23">
        <f>C4*D4</f>
        <v>16</v>
      </c>
      <c r="F4" s="25"/>
      <c r="G4" s="25" t="s">
        <v>44</v>
      </c>
      <c r="H4" s="25"/>
    </row>
    <row r="5" spans="1:8" ht="28.8" x14ac:dyDescent="0.3">
      <c r="A5" s="25">
        <v>2</v>
      </c>
      <c r="B5" s="25" t="s">
        <v>42</v>
      </c>
      <c r="C5" s="23">
        <v>1</v>
      </c>
      <c r="D5" s="23">
        <v>5</v>
      </c>
      <c r="E5" s="23">
        <f t="shared" ref="E5:E33" si="0">C5*D5</f>
        <v>5</v>
      </c>
      <c r="F5" s="25"/>
      <c r="G5" s="25"/>
      <c r="H5" s="25"/>
    </row>
    <row r="6" spans="1:8" x14ac:dyDescent="0.3">
      <c r="A6" s="25">
        <v>3</v>
      </c>
      <c r="B6" s="25" t="s">
        <v>45</v>
      </c>
      <c r="C6" s="23"/>
      <c r="D6" s="23"/>
      <c r="E6" s="23">
        <f t="shared" si="0"/>
        <v>0</v>
      </c>
      <c r="F6" s="25"/>
      <c r="G6" s="25"/>
      <c r="H6" s="25"/>
    </row>
    <row r="7" spans="1:8" x14ac:dyDescent="0.3">
      <c r="A7" s="25">
        <v>4</v>
      </c>
      <c r="B7" s="25" t="s">
        <v>46</v>
      </c>
      <c r="C7" s="23"/>
      <c r="D7" s="23"/>
      <c r="E7" s="23">
        <f t="shared" si="0"/>
        <v>0</v>
      </c>
      <c r="F7" s="25"/>
      <c r="G7" s="25"/>
      <c r="H7" s="25"/>
    </row>
    <row r="8" spans="1:8" x14ac:dyDescent="0.3">
      <c r="A8" s="25">
        <v>5</v>
      </c>
      <c r="B8" s="25"/>
      <c r="C8" s="23"/>
      <c r="D8" s="23"/>
      <c r="E8" s="23">
        <f t="shared" si="0"/>
        <v>0</v>
      </c>
      <c r="F8" s="25"/>
      <c r="G8" s="25"/>
      <c r="H8" s="25"/>
    </row>
    <row r="9" spans="1:8" x14ac:dyDescent="0.3">
      <c r="A9" s="25">
        <v>6</v>
      </c>
      <c r="B9" s="25"/>
      <c r="C9" s="23"/>
      <c r="D9" s="23"/>
      <c r="E9" s="23">
        <f t="shared" si="0"/>
        <v>0</v>
      </c>
      <c r="F9" s="25"/>
      <c r="G9" s="25"/>
      <c r="H9" s="25"/>
    </row>
    <row r="10" spans="1:8" x14ac:dyDescent="0.3">
      <c r="A10" s="25">
        <v>7</v>
      </c>
      <c r="B10" s="25"/>
      <c r="C10" s="23"/>
      <c r="D10" s="23"/>
      <c r="E10" s="23">
        <f t="shared" si="0"/>
        <v>0</v>
      </c>
      <c r="F10" s="25"/>
      <c r="G10" s="25"/>
      <c r="H10" s="25"/>
    </row>
    <row r="11" spans="1:8" x14ac:dyDescent="0.3">
      <c r="A11" s="25">
        <v>8</v>
      </c>
      <c r="B11" s="25"/>
      <c r="C11" s="23"/>
      <c r="D11" s="23"/>
      <c r="E11" s="23">
        <f t="shared" si="0"/>
        <v>0</v>
      </c>
      <c r="F11" s="25"/>
      <c r="G11" s="25"/>
      <c r="H11" s="25"/>
    </row>
    <row r="12" spans="1:8" x14ac:dyDescent="0.3">
      <c r="A12" s="25">
        <v>9</v>
      </c>
      <c r="B12" s="25"/>
      <c r="C12" s="23"/>
      <c r="D12" s="23"/>
      <c r="E12" s="23">
        <f t="shared" si="0"/>
        <v>0</v>
      </c>
      <c r="F12" s="25"/>
      <c r="G12" s="25"/>
      <c r="H12" s="25"/>
    </row>
    <row r="13" spans="1:8" x14ac:dyDescent="0.3">
      <c r="A13" s="25">
        <v>10</v>
      </c>
      <c r="B13" s="25"/>
      <c r="C13" s="23"/>
      <c r="D13" s="23"/>
      <c r="E13" s="23">
        <f t="shared" si="0"/>
        <v>0</v>
      </c>
      <c r="F13" s="25"/>
      <c r="G13" s="25"/>
      <c r="H13" s="25"/>
    </row>
    <row r="14" spans="1:8" x14ac:dyDescent="0.3">
      <c r="A14" s="25">
        <v>11</v>
      </c>
      <c r="B14" s="25"/>
      <c r="C14" s="23"/>
      <c r="D14" s="23"/>
      <c r="E14" s="23">
        <f t="shared" si="0"/>
        <v>0</v>
      </c>
      <c r="F14" s="25"/>
      <c r="G14" s="25"/>
      <c r="H14" s="25"/>
    </row>
    <row r="15" spans="1:8" x14ac:dyDescent="0.3">
      <c r="A15" s="25">
        <v>12</v>
      </c>
      <c r="B15" s="25"/>
      <c r="C15" s="23"/>
      <c r="D15" s="23"/>
      <c r="E15" s="23">
        <f t="shared" si="0"/>
        <v>0</v>
      </c>
      <c r="F15" s="25"/>
      <c r="G15" s="25"/>
      <c r="H15" s="25"/>
    </row>
    <row r="16" spans="1:8" x14ac:dyDescent="0.3">
      <c r="A16" s="25">
        <v>13</v>
      </c>
      <c r="B16" s="25"/>
      <c r="C16" s="23"/>
      <c r="D16" s="23"/>
      <c r="E16" s="23">
        <f t="shared" si="0"/>
        <v>0</v>
      </c>
      <c r="F16" s="25"/>
      <c r="G16" s="25"/>
      <c r="H16" s="25"/>
    </row>
    <row r="17" spans="1:8" x14ac:dyDescent="0.3">
      <c r="A17" s="25">
        <v>14</v>
      </c>
      <c r="B17" s="25"/>
      <c r="C17" s="23"/>
      <c r="D17" s="23"/>
      <c r="E17" s="23">
        <f t="shared" si="0"/>
        <v>0</v>
      </c>
      <c r="F17" s="25"/>
      <c r="G17" s="25"/>
      <c r="H17" s="25"/>
    </row>
    <row r="18" spans="1:8" x14ac:dyDescent="0.3">
      <c r="A18" s="25">
        <v>15</v>
      </c>
      <c r="B18" s="25"/>
      <c r="C18" s="23"/>
      <c r="D18" s="23"/>
      <c r="E18" s="23">
        <f t="shared" si="0"/>
        <v>0</v>
      </c>
      <c r="F18" s="25"/>
      <c r="G18" s="25"/>
      <c r="H18" s="25"/>
    </row>
    <row r="19" spans="1:8" x14ac:dyDescent="0.3">
      <c r="A19" s="25">
        <v>16</v>
      </c>
      <c r="B19" s="25"/>
      <c r="C19" s="23"/>
      <c r="D19" s="23"/>
      <c r="E19" s="23">
        <f t="shared" si="0"/>
        <v>0</v>
      </c>
      <c r="F19" s="25"/>
      <c r="G19" s="25"/>
      <c r="H19" s="25"/>
    </row>
    <row r="20" spans="1:8" x14ac:dyDescent="0.3">
      <c r="A20" s="25">
        <v>17</v>
      </c>
      <c r="B20" s="25"/>
      <c r="C20" s="23"/>
      <c r="D20" s="23"/>
      <c r="E20" s="23">
        <f t="shared" si="0"/>
        <v>0</v>
      </c>
      <c r="F20" s="25"/>
      <c r="G20" s="25"/>
      <c r="H20" s="25"/>
    </row>
    <row r="21" spans="1:8" x14ac:dyDescent="0.3">
      <c r="A21" s="25">
        <v>18</v>
      </c>
      <c r="B21" s="25"/>
      <c r="C21" s="23"/>
      <c r="D21" s="23"/>
      <c r="E21" s="23">
        <f t="shared" si="0"/>
        <v>0</v>
      </c>
      <c r="F21" s="25"/>
      <c r="G21" s="25"/>
      <c r="H21" s="25"/>
    </row>
    <row r="22" spans="1:8" x14ac:dyDescent="0.3">
      <c r="A22" s="25">
        <v>19</v>
      </c>
      <c r="B22" s="25"/>
      <c r="C22" s="23"/>
      <c r="D22" s="23"/>
      <c r="E22" s="23">
        <f t="shared" si="0"/>
        <v>0</v>
      </c>
      <c r="F22" s="25"/>
      <c r="G22" s="25"/>
      <c r="H22" s="25"/>
    </row>
    <row r="23" spans="1:8" x14ac:dyDescent="0.3">
      <c r="A23" s="25">
        <v>20</v>
      </c>
      <c r="B23" s="25"/>
      <c r="C23" s="23"/>
      <c r="D23" s="23"/>
      <c r="E23" s="23">
        <f t="shared" si="0"/>
        <v>0</v>
      </c>
      <c r="F23" s="25"/>
      <c r="G23" s="25"/>
      <c r="H23" s="25"/>
    </row>
    <row r="24" spans="1:8" x14ac:dyDescent="0.3">
      <c r="A24" s="25">
        <v>21</v>
      </c>
      <c r="B24" s="25"/>
      <c r="C24" s="23"/>
      <c r="D24" s="23"/>
      <c r="E24" s="23">
        <f t="shared" si="0"/>
        <v>0</v>
      </c>
      <c r="F24" s="25"/>
      <c r="G24" s="25"/>
      <c r="H24" s="25"/>
    </row>
    <row r="25" spans="1:8" x14ac:dyDescent="0.3">
      <c r="A25" s="25">
        <v>22</v>
      </c>
      <c r="B25" s="25"/>
      <c r="C25" s="23"/>
      <c r="D25" s="23"/>
      <c r="E25" s="23">
        <f t="shared" si="0"/>
        <v>0</v>
      </c>
      <c r="F25" s="25"/>
      <c r="G25" s="25"/>
      <c r="H25" s="25"/>
    </row>
    <row r="26" spans="1:8" x14ac:dyDescent="0.3">
      <c r="A26" s="25">
        <v>23</v>
      </c>
      <c r="B26" s="25"/>
      <c r="C26" s="23"/>
      <c r="D26" s="23"/>
      <c r="E26" s="23">
        <f t="shared" si="0"/>
        <v>0</v>
      </c>
      <c r="F26" s="25"/>
      <c r="G26" s="25"/>
      <c r="H26" s="25"/>
    </row>
    <row r="27" spans="1:8" x14ac:dyDescent="0.3">
      <c r="A27" s="25">
        <v>24</v>
      </c>
      <c r="B27" s="25"/>
      <c r="C27" s="23"/>
      <c r="D27" s="23"/>
      <c r="E27" s="23">
        <f t="shared" si="0"/>
        <v>0</v>
      </c>
      <c r="F27" s="25"/>
      <c r="G27" s="25"/>
      <c r="H27" s="25"/>
    </row>
    <row r="28" spans="1:8" x14ac:dyDescent="0.3">
      <c r="A28" s="25">
        <v>25</v>
      </c>
      <c r="B28" s="25"/>
      <c r="C28" s="23"/>
      <c r="D28" s="23"/>
      <c r="E28" s="23">
        <f t="shared" si="0"/>
        <v>0</v>
      </c>
      <c r="F28" s="25"/>
      <c r="G28" s="25"/>
      <c r="H28" s="25"/>
    </row>
    <row r="29" spans="1:8" x14ac:dyDescent="0.3">
      <c r="A29" s="25">
        <v>26</v>
      </c>
      <c r="B29" s="25"/>
      <c r="C29" s="23"/>
      <c r="D29" s="23"/>
      <c r="E29" s="23">
        <f t="shared" si="0"/>
        <v>0</v>
      </c>
      <c r="F29" s="25"/>
      <c r="G29" s="25"/>
      <c r="H29" s="25"/>
    </row>
    <row r="30" spans="1:8" x14ac:dyDescent="0.3">
      <c r="A30" s="25">
        <v>27</v>
      </c>
      <c r="B30" s="25"/>
      <c r="C30" s="23"/>
      <c r="D30" s="23"/>
      <c r="E30" s="23">
        <f t="shared" si="0"/>
        <v>0</v>
      </c>
      <c r="F30" s="25"/>
      <c r="G30" s="25"/>
      <c r="H30" s="25"/>
    </row>
    <row r="31" spans="1:8" x14ac:dyDescent="0.3">
      <c r="A31" s="25">
        <v>28</v>
      </c>
      <c r="B31" s="25"/>
      <c r="C31" s="23"/>
      <c r="D31" s="23"/>
      <c r="E31" s="23">
        <f t="shared" si="0"/>
        <v>0</v>
      </c>
      <c r="F31" s="25"/>
      <c r="G31" s="25"/>
      <c r="H31" s="25"/>
    </row>
    <row r="32" spans="1:8" x14ac:dyDescent="0.3">
      <c r="A32" s="25">
        <v>29</v>
      </c>
      <c r="B32" s="25"/>
      <c r="C32" s="23"/>
      <c r="D32" s="23"/>
      <c r="E32" s="23">
        <f t="shared" si="0"/>
        <v>0</v>
      </c>
      <c r="F32" s="25"/>
      <c r="G32" s="25"/>
      <c r="H32" s="25"/>
    </row>
    <row r="33" spans="1:8" ht="15" thickBot="1" x14ac:dyDescent="0.35">
      <c r="A33" s="30">
        <v>30</v>
      </c>
      <c r="B33" s="30"/>
      <c r="C33" s="24"/>
      <c r="D33" s="24"/>
      <c r="E33" s="24">
        <f t="shared" si="0"/>
        <v>0</v>
      </c>
      <c r="F33" s="30"/>
      <c r="G33" s="30"/>
      <c r="H33" s="30"/>
    </row>
  </sheetData>
  <mergeCells count="1">
    <mergeCell ref="A1:H1"/>
  </mergeCells>
  <conditionalFormatting sqref="E4:E33">
    <cfRule type="colorScale" priority="1">
      <colorScale>
        <cfvo type="min"/>
        <cfvo type="percentile" val="50"/>
        <cfvo type="max"/>
        <color rgb="FF63BE7B"/>
        <color rgb="FFFFEB84"/>
        <color rgb="FFF8696B"/>
      </colorScale>
    </cfRule>
  </conditionalFormatting>
  <pageMargins left="0.7" right="0.7" top="0.78740157499999996" bottom="0.78740157499999996" header="0.3" footer="0.3"/>
  <pageSetup paperSize="9" scale="83" fitToHeight="0"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9"/>
  <sheetViews>
    <sheetView workbookViewId="0">
      <selection activeCell="F28" sqref="F28"/>
    </sheetView>
  </sheetViews>
  <sheetFormatPr baseColWidth="10" defaultRowHeight="14.4" x14ac:dyDescent="0.3"/>
  <cols>
    <col min="1" max="1" width="31.88671875" customWidth="1"/>
    <col min="2" max="4" width="25.109375" customWidth="1"/>
    <col min="14" max="14" width="40.5546875" bestFit="1" customWidth="1"/>
  </cols>
  <sheetData>
    <row r="1" spans="1:14" ht="23.4" x14ac:dyDescent="0.45">
      <c r="A1" s="3" t="s">
        <v>99</v>
      </c>
    </row>
    <row r="2" spans="1:14" x14ac:dyDescent="0.3">
      <c r="A2" t="s">
        <v>100</v>
      </c>
    </row>
    <row r="3" spans="1:14" x14ac:dyDescent="0.3">
      <c r="F3" t="s">
        <v>107</v>
      </c>
    </row>
    <row r="4" spans="1:14" x14ac:dyDescent="0.3">
      <c r="A4" s="90" t="s">
        <v>93</v>
      </c>
      <c r="B4" s="92" t="s">
        <v>101</v>
      </c>
      <c r="C4" s="92" t="s">
        <v>108</v>
      </c>
      <c r="D4" s="92" t="s">
        <v>109</v>
      </c>
    </row>
    <row r="5" spans="1:14" x14ac:dyDescent="0.3">
      <c r="A5" s="91" t="s">
        <v>94</v>
      </c>
      <c r="B5" s="93" t="s">
        <v>104</v>
      </c>
      <c r="C5" s="93" t="s">
        <v>106</v>
      </c>
      <c r="D5" s="93" t="s">
        <v>53</v>
      </c>
    </row>
    <row r="6" spans="1:14" x14ac:dyDescent="0.3">
      <c r="A6" s="91" t="s">
        <v>95</v>
      </c>
      <c r="B6" s="93" t="s">
        <v>102</v>
      </c>
      <c r="C6" s="93" t="s">
        <v>105</v>
      </c>
      <c r="D6" s="93" t="s">
        <v>53</v>
      </c>
      <c r="K6" s="89" t="s">
        <v>110</v>
      </c>
    </row>
    <row r="7" spans="1:14" x14ac:dyDescent="0.3">
      <c r="A7" s="91" t="s">
        <v>96</v>
      </c>
      <c r="B7" s="93" t="s">
        <v>49</v>
      </c>
      <c r="C7" s="93" t="s">
        <v>105</v>
      </c>
      <c r="D7" s="93" t="s">
        <v>54</v>
      </c>
      <c r="K7" s="90" t="s">
        <v>118</v>
      </c>
      <c r="L7" s="90" t="s">
        <v>51</v>
      </c>
      <c r="M7" s="90" t="s">
        <v>52</v>
      </c>
      <c r="N7" s="90" t="s">
        <v>121</v>
      </c>
    </row>
    <row r="8" spans="1:14" x14ac:dyDescent="0.3">
      <c r="A8" s="91" t="s">
        <v>97</v>
      </c>
      <c r="B8" s="93" t="s">
        <v>50</v>
      </c>
      <c r="C8" s="93" t="s">
        <v>53</v>
      </c>
      <c r="D8" s="93" t="s">
        <v>103</v>
      </c>
      <c r="K8" s="91" t="s">
        <v>49</v>
      </c>
      <c r="L8" s="91" t="s">
        <v>53</v>
      </c>
      <c r="M8" s="91" t="s">
        <v>53</v>
      </c>
      <c r="N8" s="91" t="s">
        <v>56</v>
      </c>
    </row>
    <row r="9" spans="1:14" x14ac:dyDescent="0.3">
      <c r="A9" s="91" t="s">
        <v>114</v>
      </c>
      <c r="B9" s="93"/>
      <c r="C9" s="93"/>
      <c r="D9" s="93"/>
      <c r="K9" s="91" t="s">
        <v>49</v>
      </c>
      <c r="L9" s="91" t="s">
        <v>53</v>
      </c>
      <c r="M9" s="91" t="s">
        <v>54</v>
      </c>
      <c r="N9" s="91" t="s">
        <v>57</v>
      </c>
    </row>
    <row r="10" spans="1:14" x14ac:dyDescent="0.3">
      <c r="A10" s="91"/>
      <c r="B10" s="93"/>
      <c r="C10" s="93"/>
      <c r="D10" s="93"/>
      <c r="K10" s="91" t="s">
        <v>50</v>
      </c>
      <c r="L10" s="91" t="s">
        <v>53</v>
      </c>
      <c r="M10" s="91" t="s">
        <v>53</v>
      </c>
      <c r="N10" s="91" t="s">
        <v>58</v>
      </c>
    </row>
    <row r="11" spans="1:14" x14ac:dyDescent="0.3">
      <c r="A11" s="91"/>
      <c r="B11" s="93"/>
      <c r="C11" s="93"/>
      <c r="D11" s="93"/>
      <c r="K11" s="91" t="s">
        <v>50</v>
      </c>
      <c r="L11" s="91" t="s">
        <v>53</v>
      </c>
      <c r="M11" s="91" t="s">
        <v>54</v>
      </c>
      <c r="N11" s="91" t="s">
        <v>55</v>
      </c>
    </row>
    <row r="12" spans="1:14" x14ac:dyDescent="0.3">
      <c r="A12" s="91"/>
      <c r="B12" s="93"/>
      <c r="C12" s="93"/>
      <c r="D12" s="93"/>
      <c r="K12" s="91" t="s">
        <v>49</v>
      </c>
      <c r="L12" s="91" t="s">
        <v>54</v>
      </c>
      <c r="M12" s="95" t="s">
        <v>120</v>
      </c>
      <c r="N12" s="91" t="s">
        <v>119</v>
      </c>
    </row>
    <row r="13" spans="1:14" x14ac:dyDescent="0.3">
      <c r="A13" s="91"/>
      <c r="B13" s="93"/>
      <c r="C13" s="93"/>
      <c r="D13" s="93"/>
    </row>
    <row r="14" spans="1:14" x14ac:dyDescent="0.3">
      <c r="A14" s="91"/>
      <c r="B14" s="93"/>
      <c r="C14" s="93"/>
      <c r="D14" s="93"/>
    </row>
    <row r="15" spans="1:14" x14ac:dyDescent="0.3">
      <c r="A15" s="91"/>
      <c r="B15" s="93"/>
      <c r="C15" s="93"/>
      <c r="D15" s="93"/>
    </row>
    <row r="16" spans="1:14" x14ac:dyDescent="0.3">
      <c r="A16" s="91"/>
      <c r="B16" s="93"/>
      <c r="C16" s="93"/>
      <c r="D16" s="93"/>
    </row>
    <row r="17" spans="1:4" x14ac:dyDescent="0.3">
      <c r="A17" s="91"/>
      <c r="B17" s="93"/>
      <c r="C17" s="93"/>
      <c r="D17" s="93"/>
    </row>
    <row r="18" spans="1:4" x14ac:dyDescent="0.3">
      <c r="A18" s="91"/>
      <c r="B18" s="93"/>
      <c r="C18" s="93"/>
      <c r="D18" s="93"/>
    </row>
    <row r="19" spans="1:4" x14ac:dyDescent="0.3">
      <c r="A19" s="91"/>
      <c r="B19" s="93"/>
      <c r="C19" s="93"/>
      <c r="D19" s="93"/>
    </row>
    <row r="21" spans="1:4" x14ac:dyDescent="0.3">
      <c r="A21" s="90" t="s">
        <v>93</v>
      </c>
      <c r="B21" s="168" t="s">
        <v>111</v>
      </c>
      <c r="C21" s="168"/>
      <c r="D21" s="168"/>
    </row>
    <row r="22" spans="1:4" x14ac:dyDescent="0.3">
      <c r="A22" s="94" t="s">
        <v>97</v>
      </c>
      <c r="B22" s="169" t="s">
        <v>112</v>
      </c>
      <c r="C22" s="169"/>
      <c r="D22" s="169"/>
    </row>
    <row r="23" spans="1:4" ht="30" customHeight="1" x14ac:dyDescent="0.3">
      <c r="A23" s="94" t="s">
        <v>113</v>
      </c>
      <c r="B23" s="169" t="s">
        <v>117</v>
      </c>
      <c r="C23" s="169"/>
      <c r="D23" s="169"/>
    </row>
    <row r="24" spans="1:4" x14ac:dyDescent="0.3">
      <c r="A24" s="94" t="s">
        <v>115</v>
      </c>
      <c r="B24" s="169" t="s">
        <v>116</v>
      </c>
      <c r="C24" s="169"/>
      <c r="D24" s="169"/>
    </row>
    <row r="25" spans="1:4" x14ac:dyDescent="0.3">
      <c r="A25" s="91"/>
      <c r="B25" s="167"/>
      <c r="C25" s="167"/>
      <c r="D25" s="167"/>
    </row>
    <row r="26" spans="1:4" x14ac:dyDescent="0.3">
      <c r="A26" s="91"/>
      <c r="B26" s="167"/>
      <c r="C26" s="167"/>
      <c r="D26" s="167"/>
    </row>
    <row r="27" spans="1:4" x14ac:dyDescent="0.3">
      <c r="A27" s="91"/>
      <c r="B27" s="167"/>
      <c r="C27" s="167"/>
      <c r="D27" s="167"/>
    </row>
    <row r="28" spans="1:4" x14ac:dyDescent="0.3">
      <c r="A28" s="91"/>
      <c r="B28" s="167"/>
      <c r="C28" s="167"/>
      <c r="D28" s="167"/>
    </row>
    <row r="29" spans="1:4" x14ac:dyDescent="0.3">
      <c r="A29" s="91"/>
      <c r="B29" s="167"/>
      <c r="C29" s="167"/>
      <c r="D29" s="167"/>
    </row>
  </sheetData>
  <mergeCells count="9">
    <mergeCell ref="B29:D29"/>
    <mergeCell ref="B27:D27"/>
    <mergeCell ref="B28:D28"/>
    <mergeCell ref="B21:D21"/>
    <mergeCell ref="B22:D22"/>
    <mergeCell ref="B23:D23"/>
    <mergeCell ref="B24:D24"/>
    <mergeCell ref="B25:D25"/>
    <mergeCell ref="B26:D26"/>
  </mergeCells>
  <dataValidations count="2">
    <dataValidation type="list" allowBlank="1" showInputMessage="1" showErrorMessage="1" sqref="B5:B19" xr:uid="{26F1E003-5EB7-4822-8343-21C1BB10F5D0}">
      <formula1>"sehr positiv, positiv, eher positiv, neutral, eher negativ, negativ, sehr negativ"</formula1>
    </dataValidation>
    <dataValidation type="list" allowBlank="1" showInputMessage="1" showErrorMessage="1" sqref="C5:D19" xr:uid="{5ADB0D17-5963-45AA-8A49-7796B37ED57B}">
      <formula1>"sehr hoch,hoch,eher hoch,neutral,eher niedrig,niedrig,sehr niedrig"</formula1>
    </dataValidation>
  </dataValidations>
  <pageMargins left="0.7" right="0.7" top="0.78740157499999996" bottom="0.78740157499999996"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33"/>
  <sheetViews>
    <sheetView workbookViewId="0">
      <selection activeCell="A5" sqref="A5"/>
    </sheetView>
  </sheetViews>
  <sheetFormatPr baseColWidth="10" defaultColWidth="11.44140625" defaultRowHeight="14.4" x14ac:dyDescent="0.3"/>
  <cols>
    <col min="1" max="1" width="11.44140625" style="8"/>
    <col min="2" max="2" width="8.109375" style="8" customWidth="1"/>
    <col min="3" max="3" width="61.5546875" style="4" customWidth="1"/>
    <col min="4" max="16384" width="11.44140625" style="4"/>
  </cols>
  <sheetData>
    <row r="1" spans="1:3" ht="23.4" x14ac:dyDescent="0.3">
      <c r="A1" s="164" t="s">
        <v>70</v>
      </c>
      <c r="B1" s="164"/>
      <c r="C1" s="164"/>
    </row>
    <row r="2" spans="1:3" ht="15" thickBot="1" x14ac:dyDescent="0.35"/>
    <row r="3" spans="1:3" ht="27" thickBot="1" x14ac:dyDescent="0.35">
      <c r="A3" s="1" t="s">
        <v>71</v>
      </c>
      <c r="B3" s="1" t="s">
        <v>73</v>
      </c>
      <c r="C3" s="1" t="s">
        <v>72</v>
      </c>
    </row>
    <row r="4" spans="1:3" x14ac:dyDescent="0.3">
      <c r="A4" s="77">
        <v>43893</v>
      </c>
      <c r="B4" s="78">
        <v>1</v>
      </c>
      <c r="C4" s="76" t="s">
        <v>201</v>
      </c>
    </row>
    <row r="5" spans="1:3" x14ac:dyDescent="0.3">
      <c r="A5" s="23"/>
      <c r="B5" s="23"/>
      <c r="C5" s="25"/>
    </row>
    <row r="6" spans="1:3" x14ac:dyDescent="0.3">
      <c r="A6" s="23"/>
      <c r="B6" s="23"/>
      <c r="C6" s="25"/>
    </row>
    <row r="7" spans="1:3" x14ac:dyDescent="0.3">
      <c r="A7" s="23"/>
      <c r="B7" s="23"/>
      <c r="C7" s="25"/>
    </row>
    <row r="8" spans="1:3" x14ac:dyDescent="0.3">
      <c r="A8" s="23"/>
      <c r="B8" s="23"/>
      <c r="C8" s="25"/>
    </row>
    <row r="9" spans="1:3" x14ac:dyDescent="0.3">
      <c r="A9" s="23"/>
      <c r="B9" s="23"/>
      <c r="C9" s="25"/>
    </row>
    <row r="10" spans="1:3" x14ac:dyDescent="0.3">
      <c r="A10" s="23"/>
      <c r="B10" s="23"/>
      <c r="C10" s="25"/>
    </row>
    <row r="11" spans="1:3" x14ac:dyDescent="0.3">
      <c r="A11" s="23"/>
      <c r="B11" s="23"/>
      <c r="C11" s="25"/>
    </row>
    <row r="12" spans="1:3" x14ac:dyDescent="0.3">
      <c r="A12" s="23"/>
      <c r="B12" s="23"/>
      <c r="C12" s="25"/>
    </row>
    <row r="13" spans="1:3" x14ac:dyDescent="0.3">
      <c r="A13" s="23"/>
      <c r="B13" s="23"/>
      <c r="C13" s="25"/>
    </row>
    <row r="14" spans="1:3" x14ac:dyDescent="0.3">
      <c r="A14" s="23"/>
      <c r="B14" s="23"/>
      <c r="C14" s="25"/>
    </row>
    <row r="15" spans="1:3" x14ac:dyDescent="0.3">
      <c r="A15" s="23"/>
      <c r="B15" s="23"/>
      <c r="C15" s="25"/>
    </row>
    <row r="16" spans="1:3" x14ac:dyDescent="0.3">
      <c r="A16" s="23"/>
      <c r="B16" s="23"/>
      <c r="C16" s="25"/>
    </row>
    <row r="17" spans="1:3" x14ac:dyDescent="0.3">
      <c r="A17" s="23"/>
      <c r="B17" s="23"/>
      <c r="C17" s="25"/>
    </row>
    <row r="18" spans="1:3" x14ac:dyDescent="0.3">
      <c r="A18" s="23"/>
      <c r="B18" s="23"/>
      <c r="C18" s="25"/>
    </row>
    <row r="19" spans="1:3" x14ac:dyDescent="0.3">
      <c r="A19" s="23"/>
      <c r="B19" s="23"/>
      <c r="C19" s="25"/>
    </row>
    <row r="20" spans="1:3" x14ac:dyDescent="0.3">
      <c r="A20" s="23"/>
      <c r="B20" s="23"/>
      <c r="C20" s="25"/>
    </row>
    <row r="21" spans="1:3" x14ac:dyDescent="0.3">
      <c r="A21" s="23"/>
      <c r="B21" s="23"/>
      <c r="C21" s="25"/>
    </row>
    <row r="22" spans="1:3" x14ac:dyDescent="0.3">
      <c r="A22" s="23"/>
      <c r="B22" s="23"/>
      <c r="C22" s="25"/>
    </row>
    <row r="23" spans="1:3" x14ac:dyDescent="0.3">
      <c r="A23" s="23"/>
      <c r="B23" s="23"/>
      <c r="C23" s="25"/>
    </row>
    <row r="24" spans="1:3" x14ac:dyDescent="0.3">
      <c r="A24" s="23"/>
      <c r="B24" s="23"/>
      <c r="C24" s="25"/>
    </row>
    <row r="25" spans="1:3" x14ac:dyDescent="0.3">
      <c r="A25" s="23"/>
      <c r="B25" s="23"/>
      <c r="C25" s="25"/>
    </row>
    <row r="26" spans="1:3" x14ac:dyDescent="0.3">
      <c r="A26" s="23"/>
      <c r="B26" s="23"/>
      <c r="C26" s="25"/>
    </row>
    <row r="27" spans="1:3" x14ac:dyDescent="0.3">
      <c r="A27" s="23"/>
      <c r="B27" s="23"/>
      <c r="C27" s="25"/>
    </row>
    <row r="28" spans="1:3" x14ac:dyDescent="0.3">
      <c r="A28" s="23"/>
      <c r="B28" s="23"/>
      <c r="C28" s="25"/>
    </row>
    <row r="29" spans="1:3" x14ac:dyDescent="0.3">
      <c r="A29" s="23"/>
      <c r="B29" s="23"/>
      <c r="C29" s="25"/>
    </row>
    <row r="30" spans="1:3" x14ac:dyDescent="0.3">
      <c r="A30" s="23"/>
      <c r="B30" s="23"/>
      <c r="C30" s="25"/>
    </row>
    <row r="31" spans="1:3" x14ac:dyDescent="0.3">
      <c r="A31" s="23"/>
      <c r="B31" s="23"/>
      <c r="C31" s="25"/>
    </row>
    <row r="32" spans="1:3" x14ac:dyDescent="0.3">
      <c r="A32" s="23"/>
      <c r="B32" s="23"/>
      <c r="C32" s="25"/>
    </row>
    <row r="33" spans="1:3" ht="15" thickBot="1" x14ac:dyDescent="0.35">
      <c r="A33" s="24"/>
      <c r="B33" s="24"/>
      <c r="C33" s="30"/>
    </row>
  </sheetData>
  <mergeCells count="1">
    <mergeCell ref="A1:C1"/>
  </mergeCells>
  <pageMargins left="0.7" right="0.7" top="0.78740157499999996" bottom="0.78740157499999996" header="0.3" footer="0.3"/>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BD53-70DF-4699-931F-15727C69A01B}">
  <dimension ref="A1:B3"/>
  <sheetViews>
    <sheetView workbookViewId="0">
      <selection activeCell="B9" sqref="B9"/>
    </sheetView>
  </sheetViews>
  <sheetFormatPr baseColWidth="10" defaultRowHeight="14.4" x14ac:dyDescent="0.3"/>
  <cols>
    <col min="1" max="1" width="13.21875" style="96" customWidth="1"/>
    <col min="2" max="2" width="36.77734375" style="96" customWidth="1"/>
    <col min="3" max="16384" width="11.5546875" style="96"/>
  </cols>
  <sheetData>
    <row r="1" spans="1:2" x14ac:dyDescent="0.3">
      <c r="A1" s="97" t="s">
        <v>122</v>
      </c>
      <c r="B1" s="97" t="s">
        <v>123</v>
      </c>
    </row>
    <row r="2" spans="1:2" ht="28.8" x14ac:dyDescent="0.3">
      <c r="A2" s="96" t="s">
        <v>124</v>
      </c>
      <c r="B2" s="96" t="s">
        <v>127</v>
      </c>
    </row>
    <row r="3" spans="1:2" x14ac:dyDescent="0.3">
      <c r="A3" s="96" t="s">
        <v>125</v>
      </c>
      <c r="B3" s="96" t="s">
        <v>126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4</vt:i4>
      </vt:variant>
    </vt:vector>
  </HeadingPairs>
  <TitlesOfParts>
    <vt:vector size="14" baseType="lpstr">
      <vt:lpstr>Projektüberblick</vt:lpstr>
      <vt:lpstr>Anforderungen</vt:lpstr>
      <vt:lpstr>Meilensteine</vt:lpstr>
      <vt:lpstr>Bestellliste</vt:lpstr>
      <vt:lpstr>PSP - WBS</vt:lpstr>
      <vt:lpstr>OPL</vt:lpstr>
      <vt:lpstr>Risiken</vt:lpstr>
      <vt:lpstr>Stakeholder - Kommunikation</vt:lpstr>
      <vt:lpstr>Arbeitstagebuch_Thomas</vt:lpstr>
      <vt:lpstr>_Template</vt:lpstr>
      <vt:lpstr>'PSP - WBS'!_ftnref1</vt:lpstr>
      <vt:lpstr>'PSP - WBS'!Text11</vt:lpstr>
      <vt:lpstr>'PSP - WBS'!Text12</vt:lpstr>
      <vt:lpstr>'PSP - WBS'!Text13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Philipp</dc:creator>
  <cp:keywords/>
  <dc:description/>
  <cp:lastModifiedBy>Philipp</cp:lastModifiedBy>
  <cp:revision/>
  <cp:lastPrinted>2020-03-01T15:28:32Z</cp:lastPrinted>
  <dcterms:created xsi:type="dcterms:W3CDTF">2016-10-12T18:32:49Z</dcterms:created>
  <dcterms:modified xsi:type="dcterms:W3CDTF">2020-03-09T11:01:38Z</dcterms:modified>
  <cp:category/>
  <cp:contentStatus/>
</cp:coreProperties>
</file>