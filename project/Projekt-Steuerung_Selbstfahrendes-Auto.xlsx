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_rels/.rels" ContentType="application/vnd.openxmlformats-package.relationships+xml"/>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_rels/sheet1.xml.rels" ContentType="application/vnd.openxmlformats-package.relationships+xml"/>
  <Override PartName="/xl/worksheets/_rels/sheet2.xml.rels" ContentType="application/vnd.openxmlformats-package.relationships+xml"/>
  <Override PartName="/xl/worksheets/_rels/sheet4.xml.rels" ContentType="application/vnd.openxmlformats-package.relationships+xml"/>
  <Override PartName="/xl/worksheets/_rels/sheet5.xml.rels" ContentType="application/vnd.openxmlformats-package.relationships+xml"/>
  <Override PartName="/xl/worksheets/_rels/sheet6.xml.rels" ContentType="application/vnd.openxmlformats-package.relationships+xml"/>
  <Override PartName="/xl/worksheets/_rels/sheet7.xml.rels" ContentType="application/vnd.openxmlformats-package.relationships+xml"/>
  <Override PartName="/xl/worksheets/_rels/sheet8.xml.rels" ContentType="application/vnd.openxmlformats-package.relationships+xml"/>
  <Override PartName="/xl/externalLinks/_rels/externalLink1.xml.rels" ContentType="application/vnd.openxmlformats-package.relationships+xml"/>
  <Override PartName="/xl/externalLinks/externalLink1.xml" ContentType="application/vnd.openxmlformats-officedocument.spreadsheetml.externalLink+xml"/>
  <Override PartName="/xl/sharedStrings.xml" ContentType="application/vnd.openxmlformats-officedocument.spreadsheetml.sharedStrings+xml"/>
  <Override PartName="/xl/comments1.xml" ContentType="application/vnd.openxmlformats-officedocument.spreadsheetml.comments+xml"/>
  <Override PartName="/xl/drawings/vmlDrawing1.vml" ContentType="application/vnd.openxmlformats-officedocument.vmlDrawing"/>
  <Override PartName="/xl/drawings/drawing1.xml" ContentType="application/vnd.openxmlformats-officedocument.drawing+xml"/>
  <Override PartName="/xl/drawings/vmlDrawing2.vml" ContentType="application/vnd.openxmlformats-officedocument.vmlDrawing"/>
  <Override PartName="/xl/drawings/drawing2.xml" ContentType="application/vnd.openxmlformats-officedocument.drawing+xml"/>
  <Override PartName="/xl/drawings/vmlDrawing3.vml" ContentType="application/vnd.openxmlformats-officedocument.vmlDrawing"/>
  <Override PartName="/xl/drawings/vmlDrawing4.vml" ContentType="application/vnd.openxmlformats-officedocument.vmlDrawing"/>
  <Override PartName="/xl/drawings/vmlDrawing5.vml" ContentType="application/vnd.openxmlformats-officedocument.vmlDrawing"/>
  <Override PartName="/xl/drawings/_rels/drawing2.xml.rels" ContentType="application/vnd.openxmlformats-package.relationships+xml"/>
  <Override PartName="/xl/comments2.xml" ContentType="application/vnd.openxmlformats-officedocument.spreadsheetml.comments+xml"/>
  <Override PartName="/xl/comments5.xml" ContentType="application/vnd.openxmlformats-officedocument.spreadsheetml.comments+xml"/>
  <Override PartName="/xl/comments6.xml" ContentType="application/vnd.openxmlformats-officedocument.spreadsheetml.comments+xml"/>
  <Override PartName="/xl/tables/table1.xml" ContentType="application/vnd.openxmlformats-officedocument.spreadsheetml.table+xml"/>
  <Override PartName="/xl/comments7.xml" ContentType="application/vnd.openxmlformats-officedocument.spreadsheetml.comments+xml"/>
  <Override PartName="/xl/media/image2.png" ContentType="image/png"/>
  <Override PartName="/xl/_rels/workbook.xml.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8"/>
  </bookViews>
  <sheets>
    <sheet name="Projektüberblick" sheetId="1" state="visible" r:id="rId2"/>
    <sheet name="Anforderungen" sheetId="2" state="visible" r:id="rId3"/>
    <sheet name="Meilensteine" sheetId="3" state="visible" r:id="rId4"/>
    <sheet name="Bestellliste" sheetId="4" state="visible" r:id="rId5"/>
    <sheet name="PSP - WBS" sheetId="5" state="visible" r:id="rId6"/>
    <sheet name="OPL" sheetId="6" state="visible" r:id="rId7"/>
    <sheet name="Risiken" sheetId="7" state="visible" r:id="rId8"/>
    <sheet name="Stakeholder - Kommunikation" sheetId="8" state="visible" r:id="rId9"/>
    <sheet name="Arbeitstagebuch_Jahn" sheetId="9" state="visible" r:id="rId10"/>
    <sheet name="_Template" sheetId="10" state="visible" r:id="rId11"/>
  </sheets>
  <externalReferences>
    <externalReference r:id="rId12"/>
  </externalReferences>
  <definedNames>
    <definedName function="false" hidden="true" localSheetId="4" name="_xlnm._FilterDatabase" vbProcedure="false">'PSP - WBS'!$A$3:$I$34</definedName>
    <definedName function="false" hidden="false" name="Arbeitspaket" vbProcedure="false">[1]Stammdaten!$A$9:$A$10</definedName>
    <definedName function="false" hidden="false" name="Personen" vbProcedure="false">[1]Stammdaten!$A$27:$A$28</definedName>
    <definedName function="false" hidden="false" name="Prio" vbProcedure="false">[1]Stammdaten!$A$16:$A$18</definedName>
    <definedName function="false" hidden="false" name="Status" vbProcedure="false">[1]Stammdaten!$A$21:$A$24</definedName>
    <definedName function="false" hidden="false" name="Themen" vbProcedure="false">[1]Stammdaten!$A$13</definedName>
    <definedName function="false" hidden="false" name="Typ" vbProcedure="false">[1]Stammdaten!$A$4:$A$6</definedName>
    <definedName function="false" hidden="false" localSheetId="4" name="Text11" vbProcedure="false">'PSP - WBS'!$C$12</definedName>
    <definedName function="false" hidden="false" localSheetId="4" name="Text12" vbProcedure="false">'PSP - WBS'!$B$12</definedName>
    <definedName function="false" hidden="false" localSheetId="4" name="Text13" vbProcedure="false">'PSP - WBS'!$B$22</definedName>
    <definedName function="false" hidden="false" localSheetId="4" name="_ftn1" vbProcedure="false">'psp - wbs'!#ref!</definedName>
    <definedName function="false" hidden="false" localSheetId="4" name="_ftnref1" vbProcedure="false">'PSP - WBS'!$C$3</definedName>
    <definedName function="false" hidden="false" localSheetId="4" name="_xlnm._FilterDatabase_0" vbProcedure="false">'PSP - WBS'!$A$3:$I$9</definedName>
  </definedNames>
  <calcPr iterateCount="100" refMode="A1" iterate="false" iterateDelta="0.0001"/>
  <extLst>
    <ext xmlns:loext="http://schemas.libreoffice.org/" uri="{7626C862-2A13-11E5-B345-FEFF819CDC9F}">
      <loext:extCalcPr stringRefSyntax="ExcelA1"/>
    </ext>
  </extLst>
</workbook>
</file>

<file path=xl/comments1.xml><?xml version="1.0" encoding="utf-8"?>
<comments xmlns="http://schemas.openxmlformats.org/spreadsheetml/2006/main" xmlns:xdr="http://schemas.openxmlformats.org/drawingml/2006/spreadsheetDrawing">
  <authors>
    <author> </author>
  </authors>
  <commentList>
    <comment ref="C3" authorId="0">
      <text>
        <r>
          <rPr>
            <b val="true"/>
            <sz val="9"/>
            <color rgb="FF000000"/>
            <rFont val="Segoe UI"/>
            <family val="2"/>
            <charset val="1"/>
          </rPr>
          <t xml:space="preserve">Siehe Tab "Bestellliste"</t>
        </r>
      </text>
    </comment>
    <comment ref="E3" authorId="0">
      <text>
        <r>
          <rPr>
            <b val="true"/>
            <sz val="9"/>
            <color rgb="FF000000"/>
            <rFont val="Segoe UI"/>
            <family val="2"/>
            <charset val="1"/>
          </rPr>
          <t xml:space="preserve">Datum und Unterschrift vom Sponsor</t>
        </r>
      </text>
    </comment>
  </commentList>
</comments>
</file>

<file path=xl/comments2.xml><?xml version="1.0" encoding="utf-8"?>
<comments xmlns="http://schemas.openxmlformats.org/spreadsheetml/2006/main" xmlns:xdr="http://schemas.openxmlformats.org/drawingml/2006/spreadsheetDrawing">
  <authors>
    <author> </author>
  </authors>
  <commentList>
    <comment ref="D8" authorId="0">
      <text>
        <r>
          <rPr>
            <b val="true"/>
            <sz val="9"/>
            <color rgb="FF000000"/>
            <rFont val="Segoe UI"/>
            <family val="2"/>
            <charset val="1"/>
          </rPr>
          <t xml:space="preserve">Test erfolgreich = Anforderung erfüllt?
Ja/Nein</t>
        </r>
      </text>
    </comment>
  </commentList>
</comments>
</file>

<file path=xl/comments5.xml><?xml version="1.0" encoding="utf-8"?>
<comments xmlns="http://schemas.openxmlformats.org/spreadsheetml/2006/main" xmlns:xdr="http://schemas.openxmlformats.org/drawingml/2006/spreadsheetDrawing">
  <authors>
    <author> </author>
  </authors>
  <commentList>
    <comment ref="D3" authorId="0">
      <text>
        <r>
          <rPr>
            <b val="true"/>
            <sz val="9"/>
            <color rgb="FF000000"/>
            <rFont val="Segoe UI"/>
            <family val="0"/>
            <charset val="1"/>
          </rPr>
          <t xml:space="preserve">Nur einmal am Anfang schätzen, dann in Spalte E + F laufend aktualisieren.</t>
        </r>
      </text>
    </comment>
  </commentList>
</comments>
</file>

<file path=xl/comments6.xml><?xml version="1.0" encoding="utf-8"?>
<comments xmlns="http://schemas.openxmlformats.org/spreadsheetml/2006/main" xmlns:xdr="http://schemas.openxmlformats.org/drawingml/2006/spreadsheetDrawing">
  <authors>
    <author> </author>
  </authors>
  <commentList>
    <comment ref="D3" authorId="0">
      <text>
        <r>
          <rPr>
            <b val="true"/>
            <sz val="9"/>
            <color rgb="FF000000"/>
            <rFont val="Segoe UI"/>
            <family val="2"/>
            <charset val="1"/>
          </rPr>
          <t xml:space="preserve">Punkt angelegt am ...</t>
        </r>
      </text>
    </comment>
    <comment ref="I3" authorId="0">
      <text>
        <r>
          <rPr>
            <b val="true"/>
            <sz val="9"/>
            <color rgb="FF000000"/>
            <rFont val="Segoe UI"/>
            <family val="2"/>
            <charset val="1"/>
          </rPr>
          <t xml:space="preserve">Zu erledigen bis …</t>
        </r>
      </text>
    </comment>
  </commentList>
</comments>
</file>

<file path=xl/comments7.xml><?xml version="1.0" encoding="utf-8"?>
<comments xmlns="http://schemas.openxmlformats.org/spreadsheetml/2006/main" xmlns:xdr="http://schemas.openxmlformats.org/drawingml/2006/spreadsheetDrawing">
  <authors>
    <author> </author>
  </authors>
  <commentList>
    <comment ref="B3" authorId="0">
      <text>
        <r>
          <rPr>
            <b val="true"/>
            <sz val="9"/>
            <color rgb="FF000000"/>
            <rFont val="Segoe UI"/>
            <family val="2"/>
            <charset val="1"/>
          </rPr>
          <t xml:space="preserve">Wichtig ist immer was die Auswirkung ist? Z.B. höhere Kosten, Zeitverzug, Qualitätseinbuße, schlechte Note, …
Ausfall eines Teammitglieds ist in diesem Sinne kein Risiko...</t>
        </r>
      </text>
    </comment>
    <comment ref="C3" authorId="0">
      <text>
        <r>
          <rPr>
            <sz val="11"/>
            <color rgb="FF000000"/>
            <rFont val="Calibri"/>
            <family val="2"/>
            <charset val="1"/>
          </rPr>
          <t xml:space="preserve">Auftretenswahrscheinlichkeit - wie wahrscheinlich ist es, dass das Risiko eintritt:
</t>
        </r>
        <r>
          <rPr>
            <sz val="9"/>
            <color rgb="FF000000"/>
            <rFont val="Segoe UI"/>
            <family val="2"/>
            <charset val="1"/>
          </rPr>
          <t xml:space="preserve">1: sehr unwahrscheinlich (~0%)
2: unwahrscheinlich (&lt;50%)
3: ~50%
4: wahrscheinlich (&gt;50%)
5: sehr wahrscheinlich (~100%)</t>
        </r>
      </text>
    </comment>
    <comment ref="D3" authorId="0">
      <text>
        <r>
          <rPr>
            <sz val="11"/>
            <color rgb="FF000000"/>
            <rFont val="Calibri"/>
            <family val="2"/>
            <charset val="1"/>
          </rPr>
          <t xml:space="preserve">Gewichtung - Auswirkung auf den Projekterfolg
</t>
        </r>
        <r>
          <rPr>
            <sz val="9"/>
            <color rgb="FF000000"/>
            <rFont val="Segoe UI"/>
            <family val="2"/>
            <charset val="1"/>
          </rPr>
          <t xml:space="preserve">1: Sehr gering - das Risiko hat so gut wie keinen Einfluss auf den Projekterfolg
2: Gering
3: Mittel
4: Hoch
5: Kritisch - das Risiko kann das Projekt zum Kippen bringen</t>
        </r>
      </text>
    </comment>
    <comment ref="E3" authorId="0">
      <text>
        <r>
          <rPr>
            <sz val="11"/>
            <color rgb="FF000000"/>
            <rFont val="Calibri"/>
            <family val="2"/>
            <charset val="1"/>
          </rPr>
          <t xml:space="preserve">Risiko-Kennzahl
</t>
        </r>
        <r>
          <rPr>
            <sz val="9"/>
            <color rgb="FF000000"/>
            <rFont val="Segoe UI"/>
            <family val="2"/>
            <charset val="1"/>
          </rPr>
          <t xml:space="preserve">RKZ = A * G
RKZ &gt; 9 benötigt eine Gegenmaßnahme und muss verfolgt werden</t>
        </r>
      </text>
    </comment>
    <comment ref="F3" authorId="0">
      <text>
        <r>
          <rPr>
            <b val="true"/>
            <sz val="9"/>
            <color rgb="FF000000"/>
            <rFont val="Segoe UI"/>
            <family val="2"/>
            <charset val="1"/>
          </rPr>
          <t xml:space="preserve">verändert sich das Risiko bzw. die RKZ im Verlauf des Projekts?</t>
        </r>
      </text>
    </comment>
  </commentList>
</comments>
</file>

<file path=xl/sharedStrings.xml><?xml version="1.0" encoding="utf-8"?>
<sst xmlns="http://schemas.openxmlformats.org/spreadsheetml/2006/main" count="320" uniqueCount="232">
  <si>
    <t xml:space="preserve">Projekt: Selbstfahrendes Auto</t>
  </si>
  <si>
    <t xml:space="preserve">Projektstart:</t>
  </si>
  <si>
    <t xml:space="preserve">Budgetrahmen:</t>
  </si>
  <si>
    <t xml:space="preserve">50,-</t>
  </si>
  <si>
    <t xml:space="preserve">Genehmigt? Datum + Unterschrift:</t>
  </si>
  <si>
    <t xml:space="preserve">Projektende:</t>
  </si>
  <si>
    <t xml:space="preserve">Sponsor:</t>
  </si>
  <si>
    <t xml:space="preserve">Jahn</t>
  </si>
  <si>
    <t xml:space="preserve">________________________________</t>
  </si>
  <si>
    <t xml:space="preserve">Projektteam</t>
  </si>
  <si>
    <t xml:space="preserve">Name</t>
  </si>
  <si>
    <t xml:space="preserve">Schwerpunkte</t>
  </si>
  <si>
    <t xml:space="preserve">Verfügbar</t>
  </si>
  <si>
    <t xml:space="preserve">Kontakt</t>
  </si>
  <si>
    <t xml:space="preserve">Projektleiter</t>
  </si>
  <si>
    <t xml:space="preserve">Philipp Jahn</t>
  </si>
  <si>
    <t xml:space="preserve">Alles</t>
  </si>
  <si>
    <t xml:space="preserve">philipp.jahn@bildung.gv.at</t>
  </si>
  <si>
    <t xml:space="preserve">Ablagen</t>
  </si>
  <si>
    <t xml:space="preserve">Dokumentation</t>
  </si>
  <si>
    <t xml:space="preserve">https://github.com/philippjahn/car/docu</t>
  </si>
  <si>
    <t xml:space="preserve">Source-Code</t>
  </si>
  <si>
    <t xml:space="preserve">https://github.com/philippjahn/car/source</t>
  </si>
  <si>
    <t xml:space="preserve">Projektsteuerung</t>
  </si>
  <si>
    <t xml:space="preserve">https://github.com/philippjahn/car/project</t>
  </si>
  <si>
    <t xml:space="preserve">Rercherche</t>
  </si>
  <si>
    <t xml:space="preserve">https://github.com/philippjahn/car/research</t>
  </si>
  <si>
    <t xml:space="preserve">Motivation und kurze Beschreibung (Warum das Projekt?)</t>
  </si>
  <si>
    <t xml:space="preserve">Autonomes Fahren ist eine Frage der Zeit, bis es ganz natürlicher Bestandteil unseres unseren Alltag sein wird. Mit einem kleinen Modell möchte ich Erkenntnisse gewinnen, wie komplex diese Sache werden kann.</t>
  </si>
  <si>
    <t xml:space="preserve">Ziele - Was soll mit dem Projekt erreicht werden?</t>
  </si>
  <si>
    <t xml:space="preserve">Nicht-Ziele (Abgrenzung wo nötig)</t>
  </si>
  <si>
    <t xml:space="preserve">Autonome Fertigkeiten sollen erlernt werden (unterschiedliche Strategien um autonom Fahren zu können).</t>
  </si>
  <si>
    <t xml:space="preserve">Das Projekt soll in ähnlicher Form in der 4. Höheren Klasse umgesetzt werden. Jeder erhält ein eigenes Fahrzeug, dass es zusammenzubauen gilt und dann im Wettkampf das beste autonome Fahrzeug zu küren.</t>
  </si>
  <si>
    <t xml:space="preserve">Optimieren der Algorithmen in Bezug auf Autonomes Fahren.</t>
  </si>
  <si>
    <t xml:space="preserve">Es geht nicht um die Optimierung der Motorenansteuerung und das Design des Fahrzeugs.</t>
  </si>
  <si>
    <t xml:space="preserve"> </t>
  </si>
  <si>
    <t xml:space="preserve">Anforderungen</t>
  </si>
  <si>
    <r>
      <rPr>
        <sz val="11"/>
        <color rgb="FF000000"/>
        <rFont val="Calibri"/>
        <family val="2"/>
        <charset val="1"/>
      </rPr>
      <t xml:space="preserve">Anforderungen beschreiben was das Produkt können muss um die Ziele (siehe Projektüberblick) zu erreichen. Die Anforderungen müssen dabei </t>
    </r>
    <r>
      <rPr>
        <b val="true"/>
        <sz val="11"/>
        <color rgb="FF000000"/>
        <rFont val="Calibri"/>
        <family val="2"/>
        <charset val="1"/>
      </rPr>
      <t xml:space="preserve">verständlich, vollständig, korrekt, konsistent und testbar</t>
    </r>
    <r>
      <rPr>
        <sz val="11"/>
        <color rgb="FF000000"/>
        <rFont val="Calibri"/>
        <family val="2"/>
        <charset val="1"/>
      </rPr>
      <t xml:space="preserve"> sein.</t>
    </r>
  </si>
  <si>
    <r>
      <rPr>
        <sz val="11"/>
        <color rgb="FF000000"/>
        <rFont val="Calibri"/>
        <family val="2"/>
        <charset val="1"/>
      </rPr>
      <t xml:space="preserve">Der Aufbau einer Anforderung ist immer wie folgt:
&lt;WER&gt; </t>
    </r>
    <r>
      <rPr>
        <b val="true"/>
        <sz val="11"/>
        <color rgb="FF000000"/>
        <rFont val="Calibri"/>
        <family val="2"/>
        <charset val="1"/>
      </rPr>
      <t xml:space="preserve">soll/kann (nicht) </t>
    </r>
    <r>
      <rPr>
        <sz val="11"/>
        <color rgb="FF000000"/>
        <rFont val="Calibri"/>
        <family val="2"/>
        <charset val="1"/>
      </rPr>
      <t xml:space="preserve">&lt;WAS&gt; (&lt;WENN&gt;)
-) Das System soll einem Benutzer den Überblick über die Lagerstände alles Artikel geben.
-) Das System soll unterschiedliche Benutzerrechte vergeben können: Administrator, Benutzer.
-) Der Ladezustand des Controller soll mindestens 2 Tage lang halten, wenn dieser voll aufgeladen war.</t>
    </r>
  </si>
  <si>
    <t xml:space="preserve">Auch nicht-funktionale Anforderungen wie z.B. Usability, Performance, Zuverlässigkeit, Rahmenbedingungen soll spezifiziert werden.
-) Das Produkt soll mit einem Arduino umgesetzt werden.
-) Das System soll jede Anfrage eines Benutzer innerhalb von 0,5 Sekunden ausführen.</t>
  </si>
  <si>
    <t xml:space="preserve">ID</t>
  </si>
  <si>
    <t xml:space="preserve">Anforderung</t>
  </si>
  <si>
    <t xml:space="preserve">Wie wird getestet?</t>
  </si>
  <si>
    <t xml:space="preserve">Check?</t>
  </si>
  <si>
    <t xml:space="preserve">Das Fahrzeug soll ansteuerungsmäßig nicht vom 4WD DIY Smart Chassis Auto abweichen bzw. erweitert werden (4 Motoren, 4 Kodierscheiben, 1 Motortreiber Platine, 2x Batteriefächer sind ausreichend).</t>
  </si>
  <si>
    <t xml:space="preserve">Optische Überprüfung.</t>
  </si>
  <si>
    <t xml:space="preserve">Das Fahrzeug soll mittels 4 Infrarotsensoren und 1 Ultraschalsensor die Umgebung ausreichend erfassen können um autonom steuern zu können.</t>
  </si>
  <si>
    <t xml:space="preserve">Optische Überprüfung + Codereview + Testausgaben zur Plausibilisierung.
Für Inrarotsensoren: Stabilität überprüfen ob bei etwa der gleichen Entfernung der Sensor je nach Konfiguration (Poti) anspricht
Für Ultraschallsensor: Ausgabe der Entfernung in Zentimetern - nachmessen</t>
  </si>
  <si>
    <t xml:space="preserve">Das Fahrzeug soll einen vorgegebenen Parcour (mit beliebigen 90 Grad rechts und links Kurven) mit 20cm hohen Seitenwänden so schnell wie möglich absolvieren können.</t>
  </si>
  <si>
    <t xml:space="preserve">Gegeneinander antreten und schauen wer der schnellste ist.</t>
  </si>
  <si>
    <t xml:space="preserve">Das Fahrzeug darf nicht ferngesteuert werden sondern muss vollständig autonom fahren.</t>
  </si>
  <si>
    <t xml:space="preserve">Überprüfen ob Funkmodule verbaut sind.</t>
  </si>
  <si>
    <t xml:space="preserve">Freiheiten zur individuellen Optimierung</t>
  </si>
  <si>
    <t xml:space="preserve">-</t>
  </si>
  <si>
    <t xml:space="preserve">Das Fahrzeug darf beliebig mit Sensoren (z.B. Video-Kamera) erweitert werden.</t>
  </si>
  <si>
    <t xml:space="preserve">Je nach Sensoren Testkonzept überlegen</t>
  </si>
  <si>
    <t xml:space="preserve">Das Fahrzeug darf beliebig mit Aktuatoren und Ausgabemöglichkeiten (z.B. Funkverbindung zum Erfassen von Testdaten, LCD-Ausgabe) erweitert werden.</t>
  </si>
  <si>
    <t xml:space="preserve">Je nach Ausgabemöglichkeit Testkonzept überlegen</t>
  </si>
  <si>
    <t xml:space="preserve">Meilensteine</t>
  </si>
  <si>
    <r>
      <rPr>
        <b val="true"/>
        <sz val="11"/>
        <color rgb="FF000000"/>
        <rFont val="Calibri"/>
        <family val="2"/>
        <charset val="1"/>
      </rPr>
      <t xml:space="preserve">Grobe</t>
    </r>
    <r>
      <rPr>
        <sz val="11"/>
        <color rgb="FF000000"/>
        <rFont val="Calibri"/>
        <family val="2"/>
        <charset val="1"/>
      </rPr>
      <t xml:space="preserve"> Übersicht wann welche Teilaufgaben </t>
    </r>
    <r>
      <rPr>
        <b val="true"/>
        <sz val="11"/>
        <color rgb="FF000000"/>
        <rFont val="Calibri"/>
        <family val="2"/>
        <charset val="1"/>
      </rPr>
      <t xml:space="preserve">abgeschlossen </t>
    </r>
    <r>
      <rPr>
        <sz val="11"/>
        <color rgb="FF000000"/>
        <rFont val="Calibri"/>
        <family val="2"/>
        <charset val="1"/>
      </rPr>
      <t xml:space="preserve">sein sollen.</t>
    </r>
  </si>
  <si>
    <r>
      <rPr>
        <sz val="11"/>
        <color rgb="FF000000"/>
        <rFont val="Calibri"/>
        <family val="2"/>
        <charset val="1"/>
      </rPr>
      <t xml:space="preserve">Es soll der </t>
    </r>
    <r>
      <rPr>
        <b val="true"/>
        <sz val="11"/>
        <color rgb="FF000000"/>
        <rFont val="Calibri"/>
        <family val="2"/>
        <charset val="1"/>
      </rPr>
      <t xml:space="preserve">Zielzustand</t>
    </r>
    <r>
      <rPr>
        <sz val="11"/>
        <color rgb="FF000000"/>
        <rFont val="Calibri"/>
        <family val="2"/>
        <charset val="1"/>
      </rPr>
      <t xml:space="preserve"> beschrieben werden und </t>
    </r>
    <r>
      <rPr>
        <b val="true"/>
        <sz val="11"/>
        <color rgb="FF000000"/>
        <rFont val="Calibri"/>
        <family val="2"/>
        <charset val="1"/>
      </rPr>
      <t xml:space="preserve">keine Aufgabe</t>
    </r>
    <r>
      <rPr>
        <sz val="11"/>
        <color rgb="FF000000"/>
        <rFont val="Calibri"/>
        <family val="2"/>
        <charset val="1"/>
      </rPr>
      <t xml:space="preserve">. Z.B.:
</t>
    </r>
    <r>
      <rPr>
        <strike val="true"/>
        <sz val="11"/>
        <color rgb="FF000000"/>
        <rFont val="Calibri"/>
        <family val="2"/>
        <charset val="1"/>
      </rPr>
      <t xml:space="preserve">Prototyp zusammenbauen</t>
    </r>
    <r>
      <rPr>
        <sz val="11"/>
        <color rgb="FF000000"/>
        <rFont val="Calibri"/>
        <family val="2"/>
        <charset val="1"/>
      </rPr>
      <t xml:space="preserve"> -&gt;  Erster Prototyp funktionsfähig
</t>
    </r>
    <r>
      <rPr>
        <strike val="true"/>
        <sz val="11"/>
        <color rgb="FF000000"/>
        <rFont val="Calibri"/>
        <family val="2"/>
        <charset val="1"/>
      </rPr>
      <t xml:space="preserve">Dokumentation schreiben</t>
    </r>
    <r>
      <rPr>
        <sz val="11"/>
        <color rgb="FF000000"/>
        <rFont val="Calibri"/>
        <family val="2"/>
        <charset val="1"/>
      </rPr>
      <t xml:space="preserve"> -&gt; Erstentwurf der Dokumentation abgegeben</t>
    </r>
  </si>
  <si>
    <t xml:space="preserve">Zielzustand</t>
  </si>
  <si>
    <t xml:space="preserve">Soll</t>
  </si>
  <si>
    <t xml:space="preserve">Ist</t>
  </si>
  <si>
    <t xml:space="preserve">Bestellungen abgeschlossen</t>
  </si>
  <si>
    <t xml:space="preserve">Fahrzeug zusammen gebaut und fährt in eine Richtung.</t>
  </si>
  <si>
    <t xml:space="preserve">Erster autonomer Prototyp funktionsfähig (Seitensteuerung).</t>
  </si>
  <si>
    <t xml:space="preserve">Zweiter autonomer Prototyp funktionsfähig (Mittensteuerung).</t>
  </si>
  <si>
    <t xml:space="preserve">Finale Abgabe des funktionierenden Produkts und Dokumentation</t>
  </si>
  <si>
    <t xml:space="preserve">Abschlusspräsentation</t>
  </si>
  <si>
    <t xml:space="preserve">Bestellliste</t>
  </si>
  <si>
    <t xml:space="preserve">Produkt</t>
  </si>
  <si>
    <t xml:space="preserve">Stückzahl</t>
  </si>
  <si>
    <t xml:space="preserve">Kosten</t>
  </si>
  <si>
    <t xml:space="preserve">Bestell Nr.</t>
  </si>
  <si>
    <t xml:space="preserve">Webseite/Firmen</t>
  </si>
  <si>
    <t xml:space="preserve">4WD DIY Smart Chassis Auto Satz Für Arduino mit UNO R3 + Ultraschallmodul + Motorantrieb Board / 3-6V TT Motor</t>
  </si>
  <si>
    <t xml:space="preserve">https://www.banggood.com/de/4WD-DIY-Smart-Chassis-Car-Kit-For-Arduino-with-UNO-R3-Ultrasonic-ModuleMotor-drive-board-p-1332912.html?akmClientCountry=AT&amp;rmmds=detail-left-hotproducts__4&amp;cur_warehouse=CN</t>
  </si>
  <si>
    <t xml:space="preserve">Li-Ion Akkus</t>
  </si>
  <si>
    <t xml:space="preserve">https://www.neuhold-elektronik.at/catshop/product_info.php?cPath=36_230&amp;products_id=7117</t>
  </si>
  <si>
    <t xml:space="preserve">Ladeschaltung für Li-Ion Akku</t>
  </si>
  <si>
    <t xml:space="preserve">Kippschalter</t>
  </si>
  <si>
    <t xml:space="preserve">Kleinteile (Muttern + Schrauben)</t>
  </si>
  <si>
    <t xml:space="preserve">x</t>
  </si>
  <si>
    <t xml:space="preserve">in Schule vorhanden</t>
  </si>
  <si>
    <t xml:space="preserve">Zweiter Servo</t>
  </si>
  <si>
    <t xml:space="preserve">Eventuell 7805 Spannungsregler + hochohmige Widerstände für Batterieüberwachung</t>
  </si>
  <si>
    <t xml:space="preserve">Summe</t>
  </si>
  <si>
    <t xml:space="preserve">Projekt Struktur Plan - Work Breakdown Structure</t>
  </si>
  <si>
    <t xml:space="preserve">Teilaufgabe (TA) / Arbeitspaket (AP)</t>
  </si>
  <si>
    <t xml:space="preserve">Verantwortlich</t>
  </si>
  <si>
    <t xml:space="preserve">Erste Schätzung [h]</t>
  </si>
  <si>
    <t xml:space="preserve">Bereits investiert [h]</t>
  </si>
  <si>
    <t xml:space="preserve">Geschätzt Verbleibend [h]</t>
  </si>
  <si>
    <t xml:space="preserve">Fertigstellung (Soll)</t>
  </si>
  <si>
    <t xml:space="preserve">Fertigstellung (Ist)</t>
  </si>
  <si>
    <t xml:space="preserve">Kommentar</t>
  </si>
  <si>
    <t xml:space="preserve">Projektorganisation</t>
  </si>
  <si>
    <t xml:space="preserve">Planungsaktivitäten laufend</t>
  </si>
  <si>
    <t xml:space="preserve">Aufsetzen Git Repository</t>
  </si>
  <si>
    <t xml:space="preserve">Nur das Nötigste, Rest hier im Planungsexcel</t>
  </si>
  <si>
    <t xml:space="preserve">Bestellung und Auswahl 4WD-Car-Kits</t>
  </si>
  <si>
    <t xml:space="preserve">Bestellung aus China hat länger gedauert!</t>
  </si>
  <si>
    <t xml:space="preserve">Sonstige Bestellungen (Akkus, Schalter, Ladeschaltung)</t>
  </si>
  <si>
    <t xml:space="preserve">erst nach Erhalt der Kits festgestellt, dass weitere Komponenten benötigt werden</t>
  </si>
  <si>
    <t xml:space="preserve">Aufbau Antrieb</t>
  </si>
  <si>
    <t xml:space="preserve">Fahrzeug zusammenbauen</t>
  </si>
  <si>
    <t xml:space="preserve">länger gedauert wegen Folie abziehen</t>
  </si>
  <si>
    <t xml:space="preserve">Verkabelung der Hardwarekomponenten (Antrieb) mit dem Arduino</t>
  </si>
  <si>
    <t xml:space="preserve">Inbetriebnahme mit erstem Dummy Test (gerade aus fahren mittels Pin auf High/Low)</t>
  </si>
  <si>
    <t xml:space="preserve">Dummy Ansteuerung mittels PWM</t>
  </si>
  <si>
    <t xml:space="preserve">Konzept für Drehzahlmessung pro Motor überlegen</t>
  </si>
  <si>
    <t xml:space="preserve">zusätzliche Hardware gekauft, Hall-Sensoren</t>
  </si>
  <si>
    <t xml:space="preserve">3D-Druck für Sharp Sensoren Halterungen</t>
  </si>
  <si>
    <t xml:space="preserve">2 Stunden zeichnen, 1 Stunde drucken und anpassen</t>
  </si>
  <si>
    <t xml:space="preserve">Aufbau Sensorik</t>
  </si>
  <si>
    <t xml:space="preserve">Auswahl der Sensoren (4x Infrarot, 1x Ultraschall bereits vorhanden)</t>
  </si>
  <si>
    <t xml:space="preserve">4x Infrarot entfernt, weil einfach nur Schrott, neue Sharp Sensoren besorgt</t>
  </si>
  <si>
    <t xml:space="preserve">Verkabelung + Positionierung der Sensoren</t>
  </si>
  <si>
    <t xml:space="preserve">Länger gebraucht für Erweiterung des Aufbaus für US-Sensor mit zweitem Servo
Probleme durch zu hohe Spannung angelegt an µC -&gt; defekt -&gt; Austausch und Umbau mit Steckbrett (hat zusätzlich 3h gekostet)</t>
  </si>
  <si>
    <t xml:space="preserve">Inbetriebnahme der Infrarotsensoren (inkl. sauberem leicht verwendbarem Interface zur Auswertung)</t>
  </si>
  <si>
    <t xml:space="preserve">cancelled</t>
  </si>
  <si>
    <t xml:space="preserve">Abgebrochen, Einstellung der Sensoren zu filigran, neue Sensoren gekauft</t>
  </si>
  <si>
    <t xml:space="preserve">Inbetriebnahme des Ultraschallsensors (inkl. sauberem leicht verwendbarem Interface zur Auswertung)</t>
  </si>
  <si>
    <t xml:space="preserve">on hold</t>
  </si>
  <si>
    <t xml:space="preserve">Funktioniert, aber delay + duration händisch hintereinander einzubauen → ev. Interrupt?
Derzeit on hold, da neue IR Sensoren</t>
  </si>
  <si>
    <t xml:space="preserve">Konzept + Inbetriebnahme der Servo-Ansteuerung (inkl. sauberem leicht verwendbarem Interface zur Positionierung)</t>
  </si>
  <si>
    <t xml:space="preserve">Vergessen einzuplanen -&gt; beide Servos anzusteuern.
Derzeit on hold, da neue IR Sensoren</t>
  </si>
  <si>
    <t xml:space="preserve">Verkabelung + Positionierung der Sharp Infrarot Sensoren</t>
  </si>
  <si>
    <t xml:space="preserve">Inbetriebnahme der Sharp Infrarotsensoren (inkl. sauberem leicht verwendbarem Interface zur Auswertung)</t>
  </si>
  <si>
    <t xml:space="preserve">Software Algorithmen</t>
  </si>
  <si>
    <t xml:space="preserve">Debugmöglichkeit überlegen (Bluetooth, LCD-Display, …)</t>
  </si>
  <si>
    <t xml:space="preserve">LCD Display unpraktisch, da über die Entfernung nicht ablesbar</t>
  </si>
  <si>
    <t xml:space="preserve">Inbetriebnahme Debugmöglichkeit</t>
  </si>
  <si>
    <t xml:space="preserve">Bluetooth App Inbetriebnahme hat länger gedauert – Fehler nicht gefunden, da für App anscheinend zu schnell übertragen
Eine Aufzeichnungsmöglichkeit der Daten wird noch benötigt</t>
  </si>
  <si>
    <t xml:space="preserve">SW-Konzept überlegen (Seitenregelung, Mittenregelung)</t>
  </si>
  <si>
    <t xml:space="preserve">Implementierung Seitenregelung (inkl. Konfigurationsmöglichkeiten)</t>
  </si>
  <si>
    <t xml:space="preserve">Implementierung Mittenregelung (inkl. Konfigurationsmöglichkeiten)</t>
  </si>
  <si>
    <t xml:space="preserve">not in scope now</t>
  </si>
  <si>
    <t xml:space="preserve">Implementierung Drehzahlmessung</t>
  </si>
  <si>
    <t xml:space="preserve">OPL - Offene Punkte Liste</t>
  </si>
  <si>
    <t xml:space="preserve">Typ</t>
  </si>
  <si>
    <t xml:space="preserve">Initiator</t>
  </si>
  <si>
    <t xml:space="preserve">Datum</t>
  </si>
  <si>
    <t xml:space="preserve">Thema + Beschreibung</t>
  </si>
  <si>
    <t xml:space="preserve">Prio</t>
  </si>
  <si>
    <t xml:space="preserve">Status</t>
  </si>
  <si>
    <t xml:space="preserve">Verantwortlicher</t>
  </si>
  <si>
    <t xml:space="preserve">Termin</t>
  </si>
  <si>
    <t xml:space="preserve">Bemerkungen/Status/Ergebnisse</t>
  </si>
  <si>
    <t xml:space="preserve">Projektmeeting</t>
  </si>
  <si>
    <t xml:space="preserve">A</t>
  </si>
  <si>
    <t xml:space="preserve">Akkus und Schalter sowie Ladeschaltung bestellen</t>
  </si>
  <si>
    <t xml:space="preserve">High</t>
  </si>
  <si>
    <t xml:space="preserve">closed</t>
  </si>
  <si>
    <t xml:space="preserve">Bestellungen eingetroffen</t>
  </si>
  <si>
    <t xml:space="preserve">Zu wenige Akkus geliefert bekommen, Poele bestellt nach</t>
  </si>
  <si>
    <t xml:space="preserve">Medium</t>
  </si>
  <si>
    <t xml:space="preserve">open</t>
  </si>
  <si>
    <t xml:space="preserve">Durch Corona, derzeit kein Update</t>
  </si>
  <si>
    <t xml:space="preserve">I</t>
  </si>
  <si>
    <t xml:space="preserve">Dokumentationsvorlage herzeigen</t>
  </si>
  <si>
    <t xml:space="preserve">Nächstes Jahr</t>
  </si>
  <si>
    <t xml:space="preserve">Projekt-Template auf Moodle raufladen</t>
  </si>
  <si>
    <t xml:space="preserve">Erinnerung an Excel-Planung</t>
  </si>
  <si>
    <t xml:space="preserve">Erinnerung am 18.5. erfolgt, Teil der finalen Abgabe im Juni.</t>
  </si>
  <si>
    <t xml:space="preserve">I … Information</t>
  </si>
  <si>
    <t xml:space="preserve">new</t>
  </si>
  <si>
    <t xml:space="preserve">A … Action</t>
  </si>
  <si>
    <t xml:space="preserve">D … Decision</t>
  </si>
  <si>
    <t xml:space="preserve">Low</t>
  </si>
  <si>
    <t xml:space="preserve">Risikoanalyse</t>
  </si>
  <si>
    <t xml:space="preserve">Beschreibung des Risikos</t>
  </si>
  <si>
    <t xml:space="preserve">G</t>
  </si>
  <si>
    <t xml:space="preserve">RKZ</t>
  </si>
  <si>
    <t xml:space="preserve">Tendenz</t>
  </si>
  <si>
    <t xml:space="preserve">Gegenmaßnahmen / Kommentare</t>
  </si>
  <si>
    <t xml:space="preserve">erledigt</t>
  </si>
  <si>
    <t xml:space="preserve">Scheitern des Projekts aufgrund "einer macht alles die anderen schauen zu"</t>
  </si>
  <si>
    <t xml:space="preserve">Wöchentliche Projektmeetings mit Statusbericht und -verfolgung</t>
  </si>
  <si>
    <t xml:space="preserve">Zeitverzug aufgrund Ausfall eines Teammitglied für mehrere Wochen</t>
  </si>
  <si>
    <t xml:space="preserve">Lieferschwierigkeiten?</t>
  </si>
  <si>
    <t xml:space="preserve">…</t>
  </si>
  <si>
    <t xml:space="preserve">Stakeholderanalyse + Kommunikationsstrategie</t>
  </si>
  <si>
    <t xml:space="preserve">Wer kommt mit dem Projekt in Berührung? Wie steht er dazu? Wie kommuniziere ich mit wem, wie oft, warum?</t>
  </si>
  <si>
    <t xml:space="preserve">Visualisierung aus: https://www.agile-master.de/stakeholderanalyse-projektmanagement/</t>
  </si>
  <si>
    <t xml:space="preserve">Name / Personengruppe</t>
  </si>
  <si>
    <t xml:space="preserve">Einstellung zum Projekt</t>
  </si>
  <si>
    <t xml:space="preserve">Macht / Einfluss</t>
  </si>
  <si>
    <t xml:space="preserve">Interesse (farblich markiert)</t>
  </si>
  <si>
    <t xml:space="preserve">Abteilungsvorstand</t>
  </si>
  <si>
    <t xml:space="preserve">eher positiv</t>
  </si>
  <si>
    <t xml:space="preserve">eher niedrig</t>
  </si>
  <si>
    <t xml:space="preserve">hoch</t>
  </si>
  <si>
    <t xml:space="preserve">Teamteilnehmer 1</t>
  </si>
  <si>
    <t xml:space="preserve">sehr positiv</t>
  </si>
  <si>
    <t xml:space="preserve">sehr hoch</t>
  </si>
  <si>
    <t xml:space="preserve">Kommunikationsstratgie</t>
  </si>
  <si>
    <t xml:space="preserve">Teamteilnehmer 2</t>
  </si>
  <si>
    <t xml:space="preserve">negativ</t>
  </si>
  <si>
    <t xml:space="preserve">niedrig</t>
  </si>
  <si>
    <t xml:space="preserve">Einstellung</t>
  </si>
  <si>
    <t xml:space="preserve">Einfluss</t>
  </si>
  <si>
    <t xml:space="preserve">Interesse</t>
  </si>
  <si>
    <t xml:space="preserve">Maßnahme</t>
  </si>
  <si>
    <t xml:space="preserve">Projektarbeitsbetreuer</t>
  </si>
  <si>
    <t xml:space="preserve">positiv</t>
  </si>
  <si>
    <t xml:space="preserve">neutral</t>
  </si>
  <si>
    <t xml:space="preserve">überzeugen, viel reden und Zeit investieren</t>
  </si>
  <si>
    <t xml:space="preserve">Firmenanspechpartner (z.B. Uni)</t>
  </si>
  <si>
    <t xml:space="preserve">informieren</t>
  </si>
  <si>
    <t xml:space="preserve">einbeziehen</t>
  </si>
  <si>
    <t xml:space="preserve">informieren -&gt; einbeziehen</t>
  </si>
  <si>
    <t xml:space="preserve">immer wieder überprüfen</t>
  </si>
  <si>
    <t xml:space="preserve">Kommunikationsstrategie</t>
  </si>
  <si>
    <t xml:space="preserve">2 wöchentliche Meetings, Montags für 20 Minuten</t>
  </si>
  <si>
    <t xml:space="preserve">Team</t>
  </si>
  <si>
    <t xml:space="preserve">wöchentlicher Abgleich montags nach dem Unterricht; gemeinsame Arbeitszeit, Dienstag 15-18 Uhr</t>
  </si>
  <si>
    <t xml:space="preserve">Partnerfirma</t>
  </si>
  <si>
    <t xml:space="preserve">bekommen 1x pro Woche einen Projektbericht und update per Email, monatliche Treffen vor Ort mit Demo</t>
  </si>
  <si>
    <t xml:space="preserve">Arbeitstagebuch</t>
  </si>
  <si>
    <t xml:space="preserve">Tag</t>
  </si>
  <si>
    <t xml:space="preserve">Dauer [h]</t>
  </si>
  <si>
    <t xml:space="preserve">Aufgabe / Thema</t>
  </si>
  <si>
    <t xml:space="preserve">Tagebuch erst späte begonnen (leider)</t>
  </si>
  <si>
    <t xml:space="preserve">Plan ist, dass das Auto die erste Gerade schnell mittig fahren kann und die erste Kurve erkennt.</t>
  </si>
  <si>
    <t xml:space="preserve">Template</t>
  </si>
  <si>
    <t xml:space="preserve">Kommentare</t>
  </si>
  <si>
    <t xml:space="preserve">Version 2</t>
  </si>
  <si>
    <t xml:space="preserve">Geringfügig erweitert und Erklärungen eingebaut</t>
  </si>
  <si>
    <t xml:space="preserve">Version 1</t>
  </si>
  <si>
    <t xml:space="preserve">Erster Versuch</t>
  </si>
</sst>
</file>

<file path=xl/styles.xml><?xml version="1.0" encoding="utf-8"?>
<styleSheet xmlns="http://schemas.openxmlformats.org/spreadsheetml/2006/main">
  <numFmts count="9">
    <numFmt numFmtId="164" formatCode="General"/>
    <numFmt numFmtId="165" formatCode="[$-C07]dd/mm/yyyy"/>
    <numFmt numFmtId="166" formatCode="_-[$€-C07]\ * #,##0.00_-;\-[$€-C07]\ * #,##0.00_-;_-[$€-C07]\ * \-??_-;_-@_-"/>
    <numFmt numFmtId="167" formatCode="0\ %"/>
    <numFmt numFmtId="168" formatCode="0\-0"/>
    <numFmt numFmtId="169" formatCode="General"/>
    <numFmt numFmtId="170" formatCode="dd/mm/yy;@"/>
    <numFmt numFmtId="171" formatCode="@"/>
    <numFmt numFmtId="172" formatCode="dd/mm/yy"/>
  </numFmts>
  <fonts count="15">
    <font>
      <sz val="11"/>
      <color rgb="FF000000"/>
      <name val="Calibri"/>
      <family val="2"/>
      <charset val="1"/>
    </font>
    <font>
      <sz val="10"/>
      <name val="Arial"/>
      <family val="0"/>
    </font>
    <font>
      <sz val="10"/>
      <name val="Arial"/>
      <family val="0"/>
    </font>
    <font>
      <sz val="10"/>
      <name val="Arial"/>
      <family val="0"/>
    </font>
    <font>
      <b val="true"/>
      <sz val="18"/>
      <color rgb="FF000000"/>
      <name val="Calibri"/>
      <family val="2"/>
      <charset val="1"/>
    </font>
    <font>
      <b val="true"/>
      <sz val="11"/>
      <color rgb="FF000000"/>
      <name val="Calibri"/>
      <family val="2"/>
      <charset val="1"/>
    </font>
    <font>
      <u val="single"/>
      <sz val="11"/>
      <color rgb="FF0000FF"/>
      <name val="Calibri"/>
      <family val="2"/>
      <charset val="1"/>
    </font>
    <font>
      <b val="true"/>
      <sz val="9"/>
      <color rgb="FF000000"/>
      <name val="Segoe UI"/>
      <family val="2"/>
      <charset val="1"/>
    </font>
    <font>
      <b val="true"/>
      <sz val="10"/>
      <color rgb="FF000000"/>
      <name val="Arial"/>
      <family val="2"/>
      <charset val="1"/>
    </font>
    <font>
      <sz val="10"/>
      <color rgb="FF000000"/>
      <name val="Arial"/>
      <family val="2"/>
      <charset val="1"/>
    </font>
    <font>
      <strike val="true"/>
      <sz val="11"/>
      <color rgb="FF000000"/>
      <name val="Calibri"/>
      <family val="2"/>
      <charset val="1"/>
    </font>
    <font>
      <b val="true"/>
      <sz val="9"/>
      <color rgb="FF000000"/>
      <name val="Segoe UI"/>
      <family val="0"/>
      <charset val="1"/>
    </font>
    <font>
      <b val="true"/>
      <sz val="16"/>
      <color rgb="FF000000"/>
      <name val="Calibri"/>
      <family val="2"/>
      <charset val="1"/>
    </font>
    <font>
      <b val="true"/>
      <sz val="10"/>
      <name val="Arial"/>
      <family val="2"/>
      <charset val="1"/>
    </font>
    <font>
      <sz val="9"/>
      <color rgb="FF000000"/>
      <name val="Segoe UI"/>
      <family val="2"/>
      <charset val="1"/>
    </font>
  </fonts>
  <fills count="4">
    <fill>
      <patternFill patternType="none"/>
    </fill>
    <fill>
      <patternFill patternType="gray125"/>
    </fill>
    <fill>
      <patternFill patternType="solid">
        <fgColor rgb="FFD9D9D9"/>
        <bgColor rgb="FFC0C0C0"/>
      </patternFill>
    </fill>
    <fill>
      <patternFill patternType="solid">
        <fgColor rgb="FFFFFF00"/>
        <bgColor rgb="FFFFFF00"/>
      </patternFill>
    </fill>
  </fills>
  <borders count="21">
    <border diagonalUp="false" diagonalDown="false">
      <left/>
      <right/>
      <top/>
      <bottom/>
      <diagonal/>
    </border>
    <border diagonalUp="false" diagonalDown="false">
      <left style="medium"/>
      <right/>
      <top style="medium"/>
      <bottom style="medium"/>
      <diagonal/>
    </border>
    <border diagonalUp="false" diagonalDown="false">
      <left/>
      <right/>
      <top style="medium"/>
      <bottom style="medium"/>
      <diagonal/>
    </border>
    <border diagonalUp="false" diagonalDown="false">
      <left/>
      <right style="medium"/>
      <top style="medium"/>
      <bottom style="medium"/>
      <diagonal/>
    </border>
    <border diagonalUp="false" diagonalDown="false">
      <left style="medium"/>
      <right style="medium"/>
      <top style="medium"/>
      <bottom style="medium"/>
      <diagonal/>
    </border>
    <border diagonalUp="false" diagonalDown="false">
      <left style="medium"/>
      <right style="medium"/>
      <top/>
      <bottom style="thin"/>
      <diagonal/>
    </border>
    <border diagonalUp="false" diagonalDown="false">
      <left style="medium"/>
      <right style="medium"/>
      <top style="medium"/>
      <bottom style="thin"/>
      <diagonal/>
    </border>
    <border diagonalUp="false" diagonalDown="false">
      <left style="medium"/>
      <right style="medium"/>
      <top style="thin"/>
      <bottom style="thin"/>
      <diagonal/>
    </border>
    <border diagonalUp="false" diagonalDown="false">
      <left style="medium"/>
      <right style="medium"/>
      <top style="thin"/>
      <bottom style="medium"/>
      <diagonal/>
    </border>
    <border diagonalUp="false" diagonalDown="false">
      <left style="medium"/>
      <right/>
      <top style="medium"/>
      <bottom/>
      <diagonal/>
    </border>
    <border diagonalUp="false" diagonalDown="false">
      <left/>
      <right/>
      <top style="medium"/>
      <bottom/>
      <diagonal/>
    </border>
    <border diagonalUp="false" diagonalDown="false">
      <left/>
      <right style="medium"/>
      <top style="medium"/>
      <bottom/>
      <diagonal/>
    </border>
    <border diagonalUp="false" diagonalDown="false">
      <left style="medium"/>
      <right style="medium"/>
      <top/>
      <bottom style="medium"/>
      <diagonal/>
    </border>
    <border diagonalUp="false" diagonalDown="false">
      <left style="medium"/>
      <right/>
      <top style="thin"/>
      <bottom style="thin"/>
      <diagonal/>
    </border>
    <border diagonalUp="false" diagonalDown="false">
      <left style="medium"/>
      <right/>
      <top style="thin"/>
      <bottom style="medium"/>
      <diagonal/>
    </border>
    <border diagonalUp="false" diagonalDown="false">
      <left/>
      <right style="medium"/>
      <top style="thin"/>
      <bottom style="thin"/>
      <diagonal/>
    </border>
    <border diagonalUp="false" diagonalDown="false">
      <left/>
      <right style="medium"/>
      <top style="medium"/>
      <bottom style="thin"/>
      <diagonal/>
    </border>
    <border diagonalUp="false" diagonalDown="false">
      <left style="medium"/>
      <right style="medium"/>
      <top style="thin"/>
      <bottom/>
      <diagonal/>
    </border>
    <border diagonalUp="false" diagonalDown="false">
      <left/>
      <right style="medium"/>
      <top style="thin"/>
      <bottom/>
      <diagonal/>
    </border>
    <border diagonalUp="false" diagonalDown="false">
      <left/>
      <right style="medium"/>
      <top style="thin"/>
      <bottom style="medium"/>
      <diagonal/>
    </border>
    <border diagonalUp="false" diagonalDown="false">
      <left style="thin"/>
      <right style="thin"/>
      <top style="thin"/>
      <bottom style="thin"/>
      <diagonal/>
    </border>
  </borders>
  <cellStyleXfs count="21">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167" fontId="0" fillId="0" borderId="0" applyFont="true" applyBorder="false" applyAlignment="true" applyProtection="false">
      <alignment horizontal="general" vertical="bottom" textRotation="0" wrapText="false" indent="0" shrinkToFit="false"/>
    </xf>
    <xf numFmtId="164" fontId="6" fillId="0" borderId="0" applyFont="true" applyBorder="false" applyAlignment="true" applyProtection="false">
      <alignment horizontal="general" vertical="bottom" textRotation="0" wrapText="false" indent="0" shrinkToFit="false"/>
    </xf>
  </cellStyleXfs>
  <cellXfs count="134">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center" textRotation="0" wrapText="false" indent="0" shrinkToFit="false"/>
      <protection locked="true" hidden="false"/>
    </xf>
    <xf numFmtId="164" fontId="4" fillId="0" borderId="0" xfId="0" applyFont="true" applyBorder="true" applyAlignment="true" applyProtection="false">
      <alignment horizontal="center" vertical="center" textRotation="0" wrapText="false" indent="0" shrinkToFit="false"/>
      <protection locked="true" hidden="false"/>
    </xf>
    <xf numFmtId="164" fontId="5" fillId="0" borderId="0" xfId="0" applyFont="true" applyBorder="false" applyAlignment="true" applyProtection="false">
      <alignment horizontal="right" vertical="center" textRotation="0" wrapText="false" indent="0" shrinkToFit="false"/>
      <protection locked="true" hidden="false"/>
    </xf>
    <xf numFmtId="165" fontId="0" fillId="0" borderId="0" xfId="0" applyFont="false" applyBorder="false" applyAlignment="true" applyProtection="false">
      <alignment horizontal="left" vertical="center" textRotation="0" wrapText="false" indent="0" shrinkToFit="false"/>
      <protection locked="true" hidden="false"/>
    </xf>
    <xf numFmtId="166" fontId="0" fillId="0" borderId="0" xfId="0" applyFont="true" applyBorder="false" applyAlignment="true" applyProtection="false">
      <alignment horizontal="general" vertical="center" textRotation="0" wrapText="false" indent="0" shrinkToFit="false"/>
      <protection locked="true" hidden="false"/>
    </xf>
    <xf numFmtId="164" fontId="5" fillId="0" borderId="0" xfId="0" applyFont="true" applyBorder="false" applyAlignment="true" applyProtection="false">
      <alignment horizontal="left" vertical="center" textRotation="0" wrapText="false" indent="0" shrinkToFit="false"/>
      <protection locked="true" hidden="false"/>
    </xf>
    <xf numFmtId="164" fontId="5" fillId="2" borderId="1" xfId="0" applyFont="true" applyBorder="true" applyAlignment="true" applyProtection="false">
      <alignment horizontal="general" vertical="center" textRotation="0" wrapText="false" indent="0" shrinkToFit="false"/>
      <protection locked="true" hidden="false"/>
    </xf>
    <xf numFmtId="164" fontId="5" fillId="2" borderId="2" xfId="0" applyFont="true" applyBorder="true" applyAlignment="true" applyProtection="false">
      <alignment horizontal="center" vertical="center" textRotation="0" wrapText="false" indent="0" shrinkToFit="false"/>
      <protection locked="true" hidden="false"/>
    </xf>
    <xf numFmtId="164" fontId="5" fillId="2" borderId="3" xfId="0" applyFont="true" applyBorder="true" applyAlignment="true" applyProtection="false">
      <alignment horizontal="center" vertical="center" textRotation="0" wrapText="false" indent="0" shrinkToFit="false"/>
      <protection locked="true" hidden="false"/>
    </xf>
    <xf numFmtId="164" fontId="5" fillId="2" borderId="4" xfId="0" applyFont="true" applyBorder="true" applyAlignment="true" applyProtection="false">
      <alignment horizontal="center" vertical="center" textRotation="0" wrapText="false" indent="0" shrinkToFit="false"/>
      <protection locked="true" hidden="false"/>
    </xf>
    <xf numFmtId="164" fontId="0" fillId="0" borderId="5" xfId="0" applyFont="true" applyBorder="true" applyAlignment="true" applyProtection="false">
      <alignment horizontal="general" vertical="center" textRotation="0" wrapText="false" indent="0" shrinkToFit="false"/>
      <protection locked="true" hidden="false"/>
    </xf>
    <xf numFmtId="167" fontId="0" fillId="0" borderId="5" xfId="19" applyFont="true" applyBorder="true" applyAlignment="true" applyProtection="true">
      <alignment horizontal="center" vertical="center" textRotation="0" wrapText="false" indent="0" shrinkToFit="false"/>
      <protection locked="true" hidden="false"/>
    </xf>
    <xf numFmtId="167" fontId="6" fillId="0" borderId="6" xfId="20" applyFont="true" applyBorder="true" applyAlignment="true" applyProtection="true">
      <alignment horizontal="general" vertical="center" textRotation="0" wrapText="false" indent="0" shrinkToFit="false"/>
      <protection locked="true" hidden="false"/>
    </xf>
    <xf numFmtId="164" fontId="0" fillId="0" borderId="7" xfId="0" applyFont="false" applyBorder="true" applyAlignment="true" applyProtection="false">
      <alignment horizontal="general" vertical="center" textRotation="0" wrapText="false" indent="0" shrinkToFit="false"/>
      <protection locked="true" hidden="false"/>
    </xf>
    <xf numFmtId="167" fontId="0" fillId="0" borderId="7" xfId="19" applyFont="true" applyBorder="true" applyAlignment="true" applyProtection="true">
      <alignment horizontal="center" vertical="center" textRotation="0" wrapText="false" indent="0" shrinkToFit="false"/>
      <protection locked="true" hidden="false"/>
    </xf>
    <xf numFmtId="167" fontId="6" fillId="0" borderId="7" xfId="20" applyFont="false" applyBorder="true" applyAlignment="true" applyProtection="true">
      <alignment horizontal="general" vertical="center" textRotation="0" wrapText="false" indent="0" shrinkToFit="false"/>
      <protection locked="true" hidden="false"/>
    </xf>
    <xf numFmtId="167" fontId="0" fillId="0" borderId="7" xfId="19" applyFont="true" applyBorder="true" applyAlignment="true" applyProtection="true">
      <alignment horizontal="general" vertical="center" textRotation="0" wrapText="false" indent="0" shrinkToFit="false"/>
      <protection locked="true" hidden="false"/>
    </xf>
    <xf numFmtId="164" fontId="0" fillId="0" borderId="8" xfId="0" applyFont="false" applyBorder="true" applyAlignment="true" applyProtection="false">
      <alignment horizontal="general" vertical="center" textRotation="0" wrapText="false" indent="0" shrinkToFit="false"/>
      <protection locked="true" hidden="false"/>
    </xf>
    <xf numFmtId="167" fontId="0" fillId="0" borderId="8" xfId="19" applyFont="true" applyBorder="true" applyAlignment="true" applyProtection="true">
      <alignment horizontal="general" vertical="center" textRotation="0" wrapText="false" indent="0" shrinkToFit="false"/>
      <protection locked="true" hidden="false"/>
    </xf>
    <xf numFmtId="164" fontId="0" fillId="0" borderId="0" xfId="0" applyFont="false" applyBorder="true" applyAlignment="true" applyProtection="false">
      <alignment horizontal="general" vertical="center" textRotation="0" wrapText="false" indent="0" shrinkToFit="false"/>
      <protection locked="true" hidden="false"/>
    </xf>
    <xf numFmtId="167" fontId="0" fillId="0" borderId="0" xfId="19" applyFont="true" applyBorder="true" applyAlignment="true" applyProtection="true">
      <alignment horizontal="general" vertical="center" textRotation="0" wrapText="false" indent="0" shrinkToFit="false"/>
      <protection locked="true" hidden="false"/>
    </xf>
    <xf numFmtId="164" fontId="5" fillId="2" borderId="9" xfId="0" applyFont="true" applyBorder="true" applyAlignment="true" applyProtection="false">
      <alignment horizontal="general" vertical="center" textRotation="0" wrapText="false" indent="0" shrinkToFit="false"/>
      <protection locked="true" hidden="false"/>
    </xf>
    <xf numFmtId="164" fontId="0" fillId="2" borderId="10" xfId="0" applyFont="false" applyBorder="true" applyAlignment="true" applyProtection="false">
      <alignment horizontal="general" vertical="center" textRotation="0" wrapText="false" indent="0" shrinkToFit="false"/>
      <protection locked="true" hidden="false"/>
    </xf>
    <xf numFmtId="164" fontId="0" fillId="2" borderId="11" xfId="0" applyFont="false" applyBorder="true" applyAlignment="true" applyProtection="false">
      <alignment horizontal="general" vertical="center" textRotation="0" wrapText="false" indent="0" shrinkToFit="false"/>
      <protection locked="true" hidden="false"/>
    </xf>
    <xf numFmtId="164" fontId="5" fillId="0" borderId="6" xfId="0" applyFont="true" applyBorder="true" applyAlignment="true" applyProtection="false">
      <alignment horizontal="general" vertical="center" textRotation="0" wrapText="false" indent="0" shrinkToFit="false"/>
      <protection locked="true" hidden="false"/>
    </xf>
    <xf numFmtId="164" fontId="6" fillId="0" borderId="6" xfId="20" applyFont="true" applyBorder="true" applyAlignment="true" applyProtection="true">
      <alignment horizontal="general" vertical="center" textRotation="0" wrapText="false" indent="0" shrinkToFit="false"/>
      <protection locked="true" hidden="false"/>
    </xf>
    <xf numFmtId="164" fontId="5" fillId="0" borderId="7" xfId="0" applyFont="true" applyBorder="true" applyAlignment="true" applyProtection="false">
      <alignment horizontal="general" vertical="center" textRotation="0" wrapText="false" indent="0" shrinkToFit="false"/>
      <protection locked="true" hidden="false"/>
    </xf>
    <xf numFmtId="164" fontId="6" fillId="0" borderId="7" xfId="20" applyFont="true" applyBorder="true" applyAlignment="true" applyProtection="true">
      <alignment horizontal="general" vertical="center" textRotation="0" wrapText="false" indent="0" shrinkToFit="false"/>
      <protection locked="true" hidden="false"/>
    </xf>
    <xf numFmtId="164" fontId="0" fillId="0" borderId="12" xfId="0" applyFont="true" applyBorder="true" applyAlignment="true" applyProtection="false">
      <alignment horizontal="general" vertical="center" textRotation="0" wrapText="true" indent="0" shrinkToFit="false"/>
      <protection locked="true" hidden="false"/>
    </xf>
    <xf numFmtId="164" fontId="0" fillId="0" borderId="0" xfId="0" applyFont="false" applyBorder="true" applyAlignment="true" applyProtection="false">
      <alignment horizontal="general" vertical="center" textRotation="0" wrapText="true" indent="0" shrinkToFit="false"/>
      <protection locked="true" hidden="false"/>
    </xf>
    <xf numFmtId="164" fontId="0" fillId="0" borderId="7" xfId="0" applyFont="true" applyBorder="true" applyAlignment="true" applyProtection="false">
      <alignment horizontal="general" vertical="center" textRotation="0" wrapText="true" indent="0" shrinkToFit="false"/>
      <protection locked="true" hidden="false"/>
    </xf>
    <xf numFmtId="164" fontId="0" fillId="0" borderId="6" xfId="0" applyFont="false" applyBorder="true" applyAlignment="true" applyProtection="false">
      <alignment horizontal="general" vertical="center" textRotation="0" wrapText="true" indent="0" shrinkToFit="false"/>
      <protection locked="true" hidden="false"/>
    </xf>
    <xf numFmtId="164" fontId="0" fillId="0" borderId="0" xfId="0" applyFont="false" applyBorder="false" applyAlignment="true" applyProtection="false">
      <alignment horizontal="general" vertical="center" textRotation="0" wrapText="true" indent="0" shrinkToFit="false"/>
      <protection locked="true" hidden="false"/>
    </xf>
    <xf numFmtId="164" fontId="0" fillId="0" borderId="13" xfId="0" applyFont="true" applyBorder="true" applyAlignment="true" applyProtection="false">
      <alignment horizontal="general" vertical="center" textRotation="0" wrapText="true" indent="0" shrinkToFit="false"/>
      <protection locked="true" hidden="false"/>
    </xf>
    <xf numFmtId="164" fontId="0" fillId="0" borderId="14" xfId="0" applyFont="true" applyBorder="true" applyAlignment="true" applyProtection="false">
      <alignment horizontal="general" vertical="center" textRotation="0" wrapText="true" indent="0" shrinkToFit="false"/>
      <protection locked="true" hidden="false"/>
    </xf>
    <xf numFmtId="164" fontId="0" fillId="0" borderId="8" xfId="0" applyFont="false" applyBorder="true" applyAlignment="true" applyProtection="false">
      <alignment horizontal="general" vertical="center" textRotation="0" wrapText="true" indent="0" shrinkToFit="false"/>
      <protection locked="true" hidden="false"/>
    </xf>
    <xf numFmtId="164" fontId="0" fillId="0" borderId="0" xfId="0" applyFont="false" applyBorder="false" applyAlignment="true" applyProtection="false">
      <alignment horizontal="left" vertical="top" textRotation="0" wrapText="true" indent="0" shrinkToFit="false"/>
      <protection locked="true" hidden="false"/>
    </xf>
    <xf numFmtId="164" fontId="0" fillId="0" borderId="0" xfId="0" applyFont="true" applyBorder="true" applyAlignment="true" applyProtection="false">
      <alignment horizontal="left" vertical="top" textRotation="0" wrapText="true" indent="0" shrinkToFit="false"/>
      <protection locked="true" hidden="false"/>
    </xf>
    <xf numFmtId="164" fontId="8" fillId="2" borderId="4" xfId="0" applyFont="true" applyBorder="true" applyAlignment="true" applyProtection="false">
      <alignment horizontal="center" vertical="center" textRotation="0" wrapText="true" indent="0" shrinkToFit="false"/>
      <protection locked="true" hidden="false"/>
    </xf>
    <xf numFmtId="164" fontId="8" fillId="2" borderId="3" xfId="0" applyFont="true" applyBorder="true" applyAlignment="true" applyProtection="false">
      <alignment horizontal="center" vertical="top" textRotation="0" wrapText="true" indent="0" shrinkToFit="false"/>
      <protection locked="true" hidden="false"/>
    </xf>
    <xf numFmtId="168" fontId="9" fillId="0" borderId="7" xfId="0" applyFont="true" applyBorder="true" applyAlignment="true" applyProtection="false">
      <alignment horizontal="center" vertical="center" textRotation="0" wrapText="true" indent="0" shrinkToFit="false"/>
      <protection locked="true" hidden="false"/>
    </xf>
    <xf numFmtId="164" fontId="0" fillId="0" borderId="7" xfId="0" applyFont="true" applyBorder="true" applyAlignment="true" applyProtection="false">
      <alignment horizontal="left" vertical="top" textRotation="0" wrapText="true" indent="0" shrinkToFit="false"/>
      <protection locked="true" hidden="false"/>
    </xf>
    <xf numFmtId="164" fontId="9" fillId="0" borderId="7" xfId="0" applyFont="true" applyBorder="true" applyAlignment="true" applyProtection="false">
      <alignment horizontal="left" vertical="top" textRotation="0" wrapText="true" indent="0" shrinkToFit="false"/>
      <protection locked="true" hidden="false"/>
    </xf>
    <xf numFmtId="164" fontId="8" fillId="0" borderId="7" xfId="0" applyFont="true" applyBorder="true" applyAlignment="true" applyProtection="false">
      <alignment horizontal="left" vertical="top" textRotation="0" wrapText="true" indent="0" shrinkToFit="false"/>
      <protection locked="true" hidden="false"/>
    </xf>
    <xf numFmtId="168" fontId="9" fillId="0" borderId="8" xfId="0" applyFont="true" applyBorder="true" applyAlignment="true" applyProtection="false">
      <alignment horizontal="center" vertical="center" textRotation="0" wrapText="true" indent="0" shrinkToFit="false"/>
      <protection locked="true" hidden="false"/>
    </xf>
    <xf numFmtId="164" fontId="0" fillId="0" borderId="8" xfId="0" applyFont="false" applyBorder="true" applyAlignment="true" applyProtection="false">
      <alignment horizontal="left" vertical="top" textRotation="0" wrapText="true" indent="0" shrinkToFit="false"/>
      <protection locked="true" hidden="false"/>
    </xf>
    <xf numFmtId="164" fontId="9" fillId="0" borderId="8" xfId="0" applyFont="true" applyBorder="true" applyAlignment="true" applyProtection="false">
      <alignment horizontal="left" vertical="top" textRotation="0" wrapText="true" indent="0" shrinkToFit="false"/>
      <protection locked="true" hidden="false"/>
    </xf>
    <xf numFmtId="164" fontId="4" fillId="0" borderId="0" xfId="0" applyFont="true" applyBorder="true" applyAlignment="true" applyProtection="false">
      <alignment horizontal="center" vertical="center" textRotation="0" wrapText="true" indent="0" shrinkToFit="false"/>
      <protection locked="true" hidden="false"/>
    </xf>
    <xf numFmtId="164" fontId="0" fillId="0" borderId="0" xfId="0" applyFont="false" applyBorder="false" applyAlignment="true" applyProtection="false">
      <alignment horizontal="center" vertical="center" textRotation="0" wrapText="true" indent="0" shrinkToFit="false"/>
      <protection locked="true" hidden="false"/>
    </xf>
    <xf numFmtId="164" fontId="5" fillId="0" borderId="0" xfId="0" applyFont="true" applyBorder="true" applyAlignment="true" applyProtection="false">
      <alignment horizontal="left" vertical="center" textRotation="0" wrapText="true" indent="0" shrinkToFit="false"/>
      <protection locked="true" hidden="false"/>
    </xf>
    <xf numFmtId="164" fontId="0" fillId="0" borderId="0" xfId="0" applyFont="true" applyBorder="true" applyAlignment="true" applyProtection="false">
      <alignment horizontal="left" vertical="center" textRotation="0" wrapText="true" indent="0" shrinkToFit="false"/>
      <protection locked="true" hidden="false"/>
    </xf>
    <xf numFmtId="164" fontId="0" fillId="0" borderId="6" xfId="0" applyFont="true" applyBorder="true" applyAlignment="true" applyProtection="false">
      <alignment horizontal="general" vertical="center" textRotation="0" wrapText="true" indent="0" shrinkToFit="false"/>
      <protection locked="true" hidden="false"/>
    </xf>
    <xf numFmtId="165" fontId="0" fillId="0" borderId="6" xfId="0" applyFont="false" applyBorder="true" applyAlignment="true" applyProtection="false">
      <alignment horizontal="center" vertical="center" textRotation="0" wrapText="true" indent="0" shrinkToFit="false"/>
      <protection locked="true" hidden="false"/>
    </xf>
    <xf numFmtId="164" fontId="0" fillId="0" borderId="5" xfId="0" applyFont="true" applyBorder="true" applyAlignment="true" applyProtection="false">
      <alignment horizontal="general" vertical="center" textRotation="0" wrapText="true" indent="0" shrinkToFit="false"/>
      <protection locked="true" hidden="false"/>
    </xf>
    <xf numFmtId="165" fontId="0" fillId="0" borderId="5" xfId="0" applyFont="false" applyBorder="true" applyAlignment="true" applyProtection="false">
      <alignment horizontal="center" vertical="center" textRotation="0" wrapText="true" indent="0" shrinkToFit="false"/>
      <protection locked="true" hidden="false"/>
    </xf>
    <xf numFmtId="165" fontId="0" fillId="0" borderId="7" xfId="0" applyFont="false" applyBorder="true" applyAlignment="true" applyProtection="false">
      <alignment horizontal="center" vertical="center" textRotation="0" wrapText="true" indent="0" shrinkToFit="false"/>
      <protection locked="true" hidden="false"/>
    </xf>
    <xf numFmtId="164" fontId="0" fillId="0" borderId="7" xfId="0" applyFont="false" applyBorder="true" applyAlignment="true" applyProtection="false">
      <alignment horizontal="center" vertical="center" textRotation="0" wrapText="true" indent="0" shrinkToFit="false"/>
      <protection locked="true" hidden="false"/>
    </xf>
    <xf numFmtId="164" fontId="0" fillId="0" borderId="8" xfId="0" applyFont="false" applyBorder="true" applyAlignment="true" applyProtection="false">
      <alignment horizontal="center" vertical="center" textRotation="0" wrapText="true" indent="0" shrinkToFit="false"/>
      <protection locked="true" hidden="false"/>
    </xf>
    <xf numFmtId="164" fontId="5" fillId="0" borderId="0" xfId="0" applyFont="true" applyBorder="false" applyAlignment="true" applyProtection="false">
      <alignment horizontal="general" vertical="center" textRotation="0" wrapText="true" indent="0" shrinkToFit="false"/>
      <protection locked="true" hidden="false"/>
    </xf>
    <xf numFmtId="164" fontId="0" fillId="0" borderId="0" xfId="0" applyFont="true" applyBorder="false" applyAlignment="true" applyProtection="false">
      <alignment horizontal="left" vertical="center" textRotation="0" wrapText="true" indent="0" shrinkToFit="false"/>
      <protection locked="true" hidden="false"/>
    </xf>
    <xf numFmtId="166" fontId="0" fillId="0" borderId="7" xfId="0" applyFont="false" applyBorder="true" applyAlignment="true" applyProtection="false">
      <alignment horizontal="general" vertical="center" textRotation="0" wrapText="true" indent="0" shrinkToFit="false"/>
      <protection locked="true" hidden="false"/>
    </xf>
    <xf numFmtId="164" fontId="6" fillId="0" borderId="7" xfId="20" applyFont="true" applyBorder="true" applyAlignment="true" applyProtection="true">
      <alignment horizontal="general" vertical="center" textRotation="0" wrapText="true" indent="0" shrinkToFit="false"/>
      <protection locked="true" hidden="false"/>
    </xf>
    <xf numFmtId="164" fontId="0" fillId="0" borderId="7" xfId="20" applyFont="true" applyBorder="true" applyAlignment="true" applyProtection="true">
      <alignment horizontal="general" vertical="center" textRotation="0" wrapText="true" indent="0" shrinkToFit="false"/>
      <protection locked="true" hidden="false"/>
    </xf>
    <xf numFmtId="164" fontId="5" fillId="0" borderId="0" xfId="0" applyFont="true" applyBorder="false" applyAlignment="true" applyProtection="false">
      <alignment horizontal="center" vertical="center" textRotation="0" wrapText="true" indent="0" shrinkToFit="false"/>
      <protection locked="true" hidden="false"/>
    </xf>
    <xf numFmtId="166" fontId="5" fillId="0" borderId="0" xfId="0" applyFont="true" applyBorder="false" applyAlignment="true" applyProtection="false">
      <alignment horizontal="general" vertical="center" textRotation="0" wrapText="true" indent="0" shrinkToFit="false"/>
      <protection locked="true" hidden="false"/>
    </xf>
    <xf numFmtId="164" fontId="0" fillId="0" borderId="0" xfId="0" applyFont="false" applyBorder="false" applyAlignment="true" applyProtection="false">
      <alignment horizontal="center" vertical="center" textRotation="0" wrapText="false" indent="0" shrinkToFit="false"/>
      <protection locked="true" hidden="false"/>
    </xf>
    <xf numFmtId="164" fontId="8" fillId="2" borderId="3" xfId="0" applyFont="true" applyBorder="true" applyAlignment="true" applyProtection="false">
      <alignment horizontal="center" vertical="center" textRotation="0" wrapText="true" indent="0" shrinkToFit="false"/>
      <protection locked="true" hidden="false"/>
    </xf>
    <xf numFmtId="168" fontId="8" fillId="0" borderId="6" xfId="0" applyFont="true" applyBorder="true" applyAlignment="true" applyProtection="false">
      <alignment horizontal="center" vertical="center" textRotation="0" wrapText="true" indent="0" shrinkToFit="false"/>
      <protection locked="true" hidden="false"/>
    </xf>
    <xf numFmtId="164" fontId="8" fillId="0" borderId="15" xfId="0" applyFont="true" applyBorder="true" applyAlignment="true" applyProtection="false">
      <alignment horizontal="general" vertical="center" textRotation="0" wrapText="true" indent="0" shrinkToFit="false"/>
      <protection locked="true" hidden="false"/>
    </xf>
    <xf numFmtId="164" fontId="8" fillId="0" borderId="16" xfId="0" applyFont="true" applyBorder="true" applyAlignment="true" applyProtection="false">
      <alignment horizontal="center" vertical="center" textRotation="0" wrapText="true" indent="0" shrinkToFit="false"/>
      <protection locked="true" hidden="false"/>
    </xf>
    <xf numFmtId="164" fontId="8" fillId="0" borderId="16" xfId="0" applyFont="true" applyBorder="true" applyAlignment="true" applyProtection="false">
      <alignment horizontal="left" vertical="center" textRotation="0" wrapText="true" indent="0" shrinkToFit="false"/>
      <protection locked="true" hidden="false"/>
    </xf>
    <xf numFmtId="164" fontId="9" fillId="3" borderId="15" xfId="0" applyFont="true" applyBorder="true" applyAlignment="true" applyProtection="false">
      <alignment horizontal="general" vertical="center" textRotation="0" wrapText="true" indent="0" shrinkToFit="false"/>
      <protection locked="true" hidden="false"/>
    </xf>
    <xf numFmtId="164" fontId="9" fillId="0" borderId="15" xfId="0" applyFont="true" applyBorder="true" applyAlignment="true" applyProtection="false">
      <alignment horizontal="center" vertical="center" textRotation="0" wrapText="true" indent="0" shrinkToFit="false"/>
      <protection locked="true" hidden="false"/>
    </xf>
    <xf numFmtId="164" fontId="9" fillId="2" borderId="15" xfId="0" applyFont="true" applyBorder="true" applyAlignment="true" applyProtection="false">
      <alignment horizontal="center" vertical="center" textRotation="0" wrapText="true" indent="0" shrinkToFit="false"/>
      <protection locked="true" hidden="false"/>
    </xf>
    <xf numFmtId="165" fontId="9" fillId="0" borderId="15" xfId="0" applyFont="true" applyBorder="true" applyAlignment="true" applyProtection="false">
      <alignment horizontal="center" vertical="center" textRotation="0" wrapText="true" indent="0" shrinkToFit="false"/>
      <protection locked="true" hidden="false"/>
    </xf>
    <xf numFmtId="164" fontId="9" fillId="0" borderId="15" xfId="0" applyFont="true" applyBorder="true" applyAlignment="true" applyProtection="false">
      <alignment horizontal="left" vertical="center" textRotation="0" wrapText="true" indent="0" shrinkToFit="false"/>
      <protection locked="true" hidden="false"/>
    </xf>
    <xf numFmtId="164" fontId="9" fillId="0" borderId="15" xfId="0" applyFont="true" applyBorder="true" applyAlignment="true" applyProtection="false">
      <alignment horizontal="general" vertical="center" textRotation="0" wrapText="true" indent="0" shrinkToFit="false"/>
      <protection locked="true" hidden="false"/>
    </xf>
    <xf numFmtId="168" fontId="8" fillId="0" borderId="7" xfId="0" applyFont="true" applyBorder="true" applyAlignment="true" applyProtection="false">
      <alignment horizontal="center" vertical="center" textRotation="0" wrapText="true" indent="0" shrinkToFit="false"/>
      <protection locked="true" hidden="false"/>
    </xf>
    <xf numFmtId="164" fontId="8" fillId="0" borderId="15" xfId="0" applyFont="true" applyBorder="true" applyAlignment="true" applyProtection="false">
      <alignment horizontal="center" vertical="center" textRotation="0" wrapText="true" indent="0" shrinkToFit="false"/>
      <protection locked="true" hidden="false"/>
    </xf>
    <xf numFmtId="165" fontId="8" fillId="0" borderId="15" xfId="0" applyFont="true" applyBorder="true" applyAlignment="true" applyProtection="false">
      <alignment horizontal="center" vertical="center" textRotation="0" wrapText="true" indent="0" shrinkToFit="false"/>
      <protection locked="true" hidden="false"/>
    </xf>
    <xf numFmtId="164" fontId="0" fillId="0" borderId="0" xfId="0" applyFont="true" applyBorder="false" applyAlignment="false" applyProtection="false">
      <alignment horizontal="general" vertical="bottom" textRotation="0" wrapText="false" indent="0" shrinkToFit="false"/>
      <protection locked="true" hidden="false"/>
    </xf>
    <xf numFmtId="168" fontId="9" fillId="0" borderId="17" xfId="0" applyFont="true" applyBorder="true" applyAlignment="true" applyProtection="false">
      <alignment horizontal="center" vertical="center" textRotation="0" wrapText="true" indent="0" shrinkToFit="false"/>
      <protection locked="true" hidden="false"/>
    </xf>
    <xf numFmtId="164" fontId="9" fillId="2" borderId="18" xfId="0" applyFont="true" applyBorder="true" applyAlignment="true" applyProtection="false">
      <alignment horizontal="center" vertical="center" textRotation="0" wrapText="true" indent="0" shrinkToFit="false"/>
      <protection locked="true" hidden="false"/>
    </xf>
    <xf numFmtId="164" fontId="9" fillId="0" borderId="18" xfId="0" applyFont="true" applyBorder="true" applyAlignment="true" applyProtection="false">
      <alignment horizontal="center" vertical="center" textRotation="0" wrapText="true" indent="0" shrinkToFit="false"/>
      <protection locked="true" hidden="false"/>
    </xf>
    <xf numFmtId="164" fontId="9" fillId="0" borderId="18" xfId="0" applyFont="true" applyBorder="true" applyAlignment="true" applyProtection="false">
      <alignment horizontal="left" vertical="center" textRotation="0" wrapText="true" indent="0" shrinkToFit="false"/>
      <protection locked="true" hidden="false"/>
    </xf>
    <xf numFmtId="164" fontId="9" fillId="3" borderId="18" xfId="0" applyFont="true" applyBorder="true" applyAlignment="true" applyProtection="false">
      <alignment horizontal="general" vertical="center" textRotation="0" wrapText="true" indent="0" shrinkToFit="false"/>
      <protection locked="true" hidden="false"/>
    </xf>
    <xf numFmtId="164" fontId="9" fillId="0" borderId="18" xfId="0" applyFont="true" applyBorder="true" applyAlignment="true" applyProtection="false">
      <alignment horizontal="general" vertical="center" textRotation="0" wrapText="true" indent="0" shrinkToFit="false"/>
      <protection locked="true" hidden="false"/>
    </xf>
    <xf numFmtId="164" fontId="9" fillId="0" borderId="15" xfId="0" applyFont="true" applyBorder="true" applyAlignment="true" applyProtection="false">
      <alignment horizontal="general" vertical="center" textRotation="0" wrapText="true" indent="0" shrinkToFit="false"/>
      <protection locked="true" hidden="false"/>
    </xf>
    <xf numFmtId="164" fontId="9" fillId="0" borderId="18" xfId="0" applyFont="true" applyBorder="true" applyAlignment="true" applyProtection="false">
      <alignment horizontal="general" vertical="center" textRotation="0" wrapText="true" indent="0" shrinkToFit="false"/>
      <protection locked="true" hidden="false"/>
    </xf>
    <xf numFmtId="164" fontId="9" fillId="0" borderId="19" xfId="0" applyFont="true" applyBorder="true" applyAlignment="true" applyProtection="false">
      <alignment horizontal="general" vertical="center" textRotation="0" wrapText="true" indent="0" shrinkToFit="false"/>
      <protection locked="true" hidden="false"/>
    </xf>
    <xf numFmtId="164" fontId="9" fillId="0" borderId="19" xfId="0" applyFont="true" applyBorder="true" applyAlignment="true" applyProtection="false">
      <alignment horizontal="center" vertical="center" textRotation="0" wrapText="true" indent="0" shrinkToFit="false"/>
      <protection locked="true" hidden="false"/>
    </xf>
    <xf numFmtId="164" fontId="9" fillId="0" borderId="19" xfId="0" applyFont="true" applyBorder="true" applyAlignment="true" applyProtection="false">
      <alignment horizontal="left" vertical="center" textRotation="0" wrapText="true" indent="0" shrinkToFit="false"/>
      <protection locked="true" hidden="false"/>
    </xf>
    <xf numFmtId="164" fontId="0" fillId="0" borderId="0" xfId="0" applyFont="false" applyBorder="false" applyAlignment="true" applyProtection="false">
      <alignment horizontal="left" vertical="bottom" textRotation="0" wrapText="false" indent="0" shrinkToFit="false"/>
      <protection locked="true" hidden="false"/>
    </xf>
    <xf numFmtId="165" fontId="0" fillId="0" borderId="0" xfId="0" applyFont="false" applyBorder="false" applyAlignment="true" applyProtection="false">
      <alignment horizontal="general" vertical="center" textRotation="0" wrapText="false" indent="0" shrinkToFit="false"/>
      <protection locked="true" hidden="false"/>
    </xf>
    <xf numFmtId="164" fontId="12" fillId="0" borderId="0" xfId="0" applyFont="true" applyBorder="true" applyAlignment="true" applyProtection="false">
      <alignment horizontal="center" vertical="center" textRotation="0" wrapText="false" indent="0" shrinkToFit="false"/>
      <protection locked="true" hidden="false"/>
    </xf>
    <xf numFmtId="164" fontId="13" fillId="2" borderId="4" xfId="0" applyFont="true" applyBorder="true" applyAlignment="true" applyProtection="false">
      <alignment horizontal="center" vertical="center" textRotation="0" wrapText="true" indent="0" shrinkToFit="false"/>
      <protection locked="true" hidden="false"/>
    </xf>
    <xf numFmtId="165" fontId="13" fillId="2" borderId="4" xfId="0" applyFont="true" applyBorder="true" applyAlignment="true" applyProtection="false">
      <alignment horizontal="center" vertical="center" textRotation="0" wrapText="true" indent="0" shrinkToFit="false"/>
      <protection locked="true" hidden="false"/>
    </xf>
    <xf numFmtId="169" fontId="0" fillId="0" borderId="5" xfId="0" applyFont="false" applyBorder="true" applyAlignment="true" applyProtection="false">
      <alignment horizontal="center" vertical="center" textRotation="0" wrapText="false" indent="0" shrinkToFit="false"/>
      <protection locked="true" hidden="false"/>
    </xf>
    <xf numFmtId="170" fontId="0" fillId="0" borderId="5" xfId="0" applyFont="true" applyBorder="true" applyAlignment="true" applyProtection="false">
      <alignment horizontal="center" vertical="center" textRotation="0" wrapText="false" indent="0" shrinkToFit="false"/>
      <protection locked="true" hidden="false"/>
    </xf>
    <xf numFmtId="170" fontId="0" fillId="0" borderId="5" xfId="0" applyFont="true" applyBorder="true" applyAlignment="true" applyProtection="false">
      <alignment horizontal="general" vertical="center" textRotation="0" wrapText="false" indent="0" shrinkToFit="false"/>
      <protection locked="true" hidden="false"/>
    </xf>
    <xf numFmtId="165" fontId="0" fillId="0" borderId="5" xfId="0" applyFont="false" applyBorder="true" applyAlignment="true" applyProtection="false">
      <alignment horizontal="general" vertical="center" textRotation="0" wrapText="false" indent="0" shrinkToFit="false"/>
      <protection locked="true" hidden="false"/>
    </xf>
    <xf numFmtId="170" fontId="0" fillId="0" borderId="5" xfId="0" applyFont="false" applyBorder="true" applyAlignment="true" applyProtection="false">
      <alignment horizontal="general" vertical="center" textRotation="0" wrapText="true" indent="0" shrinkToFit="false"/>
      <protection locked="true" hidden="false"/>
    </xf>
    <xf numFmtId="169" fontId="0" fillId="0" borderId="7" xfId="0" applyFont="false" applyBorder="true" applyAlignment="true" applyProtection="false">
      <alignment horizontal="center" vertical="center" textRotation="0" wrapText="false" indent="0" shrinkToFit="false"/>
      <protection locked="true" hidden="false"/>
    </xf>
    <xf numFmtId="170" fontId="0" fillId="0" borderId="7" xfId="0" applyFont="true" applyBorder="true" applyAlignment="true" applyProtection="false">
      <alignment horizontal="center" vertical="center" textRotation="0" wrapText="false" indent="0" shrinkToFit="false"/>
      <protection locked="true" hidden="false"/>
    </xf>
    <xf numFmtId="170" fontId="0" fillId="0" borderId="7" xfId="0" applyFont="true" applyBorder="true" applyAlignment="true" applyProtection="false">
      <alignment horizontal="general" vertical="center" textRotation="0" wrapText="false" indent="0" shrinkToFit="false"/>
      <protection locked="true" hidden="false"/>
    </xf>
    <xf numFmtId="165" fontId="0" fillId="0" borderId="7" xfId="0" applyFont="false" applyBorder="true" applyAlignment="true" applyProtection="false">
      <alignment horizontal="general" vertical="center" textRotation="0" wrapText="false" indent="0" shrinkToFit="false"/>
      <protection locked="true" hidden="false"/>
    </xf>
    <xf numFmtId="170" fontId="0" fillId="0" borderId="7" xfId="0" applyFont="false" applyBorder="true" applyAlignment="true" applyProtection="false">
      <alignment horizontal="general" vertical="center" textRotation="0" wrapText="true" indent="0" shrinkToFit="false"/>
      <protection locked="true" hidden="false"/>
    </xf>
    <xf numFmtId="171" fontId="0" fillId="0" borderId="7" xfId="0" applyFont="true" applyBorder="true" applyAlignment="true" applyProtection="false">
      <alignment horizontal="general" vertical="center" textRotation="0" wrapText="true" indent="0" shrinkToFit="false"/>
      <protection locked="true" hidden="false"/>
    </xf>
    <xf numFmtId="169" fontId="0" fillId="0" borderId="8" xfId="0" applyFont="false" applyBorder="true" applyAlignment="true" applyProtection="false">
      <alignment horizontal="center" vertical="center" textRotation="0" wrapText="false" indent="0" shrinkToFit="false"/>
      <protection locked="true" hidden="false"/>
    </xf>
    <xf numFmtId="170" fontId="0" fillId="0" borderId="8" xfId="0" applyFont="false" applyBorder="true" applyAlignment="true" applyProtection="false">
      <alignment horizontal="general" vertical="center" textRotation="0" wrapText="false" indent="0" shrinkToFit="false"/>
      <protection locked="true" hidden="false"/>
    </xf>
    <xf numFmtId="165" fontId="0" fillId="0" borderId="8" xfId="0" applyFont="false" applyBorder="true" applyAlignment="true" applyProtection="false">
      <alignment horizontal="general" vertical="center" textRotation="0" wrapText="false" indent="0" shrinkToFit="false"/>
      <protection locked="true" hidden="false"/>
    </xf>
    <xf numFmtId="171" fontId="0" fillId="0" borderId="8" xfId="0" applyFont="false" applyBorder="true" applyAlignment="true" applyProtection="false">
      <alignment horizontal="general" vertical="center" textRotation="0" wrapText="true" indent="0" shrinkToFit="false"/>
      <protection locked="true" hidden="false"/>
    </xf>
    <xf numFmtId="170" fontId="0" fillId="0" borderId="8" xfId="0" applyFont="false" applyBorder="true" applyAlignment="true" applyProtection="false">
      <alignment horizontal="general" vertical="center" textRotation="0" wrapText="true" indent="0" shrinkToFit="false"/>
      <protection locked="true" hidden="false"/>
    </xf>
    <xf numFmtId="170" fontId="0" fillId="0" borderId="0" xfId="0" applyFont="false" applyBorder="false" applyAlignment="true" applyProtection="false">
      <alignment horizontal="general" vertical="center" textRotation="0" wrapText="false" indent="0" shrinkToFit="false"/>
      <protection locked="true" hidden="false"/>
    </xf>
    <xf numFmtId="171" fontId="0" fillId="0" borderId="0" xfId="0" applyFont="false" applyBorder="false" applyAlignment="true" applyProtection="false">
      <alignment horizontal="general" vertical="center" textRotation="0" wrapText="true" indent="0" shrinkToFit="false"/>
      <protection locked="true" hidden="false"/>
    </xf>
    <xf numFmtId="170" fontId="0" fillId="0" borderId="0" xfId="0" applyFont="false" applyBorder="false" applyAlignment="true" applyProtection="false">
      <alignment horizontal="general" vertical="center" textRotation="0" wrapText="true" indent="0" shrinkToFit="false"/>
      <protection locked="true" hidden="false"/>
    </xf>
    <xf numFmtId="164" fontId="6" fillId="0" borderId="0" xfId="20" applyFont="false" applyBorder="true" applyAlignment="true" applyProtection="true">
      <alignment horizontal="general" vertical="center" textRotation="0" wrapText="false" indent="0" shrinkToFit="false"/>
      <protection locked="true" hidden="false"/>
    </xf>
    <xf numFmtId="169" fontId="0" fillId="0" borderId="7" xfId="0" applyFont="false" applyBorder="true" applyAlignment="true" applyProtection="false">
      <alignment horizontal="center" vertical="center" textRotation="0" wrapText="true" indent="0" shrinkToFit="false"/>
      <protection locked="true" hidden="false"/>
    </xf>
    <xf numFmtId="169" fontId="0" fillId="0" borderId="8" xfId="0" applyFont="false" applyBorder="true" applyAlignment="true" applyProtection="false">
      <alignment horizontal="center" vertical="center" textRotation="0" wrapText="tru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20" xfId="0" applyFont="true" applyBorder="true" applyAlignment="false" applyProtection="false">
      <alignment horizontal="general" vertical="bottom" textRotation="0" wrapText="false" indent="0" shrinkToFit="false"/>
      <protection locked="true" hidden="false"/>
    </xf>
    <xf numFmtId="164" fontId="5" fillId="0" borderId="20" xfId="0" applyFont="true" applyBorder="true" applyAlignment="true" applyProtection="false">
      <alignment horizontal="center" vertical="bottom" textRotation="0" wrapText="false" indent="0" shrinkToFit="false"/>
      <protection locked="true" hidden="false"/>
    </xf>
    <xf numFmtId="164" fontId="0" fillId="0" borderId="20" xfId="0" applyFont="true" applyBorder="true" applyAlignment="false" applyProtection="false">
      <alignment horizontal="general" vertical="bottom" textRotation="0" wrapText="false" indent="0" shrinkToFit="false"/>
      <protection locked="true" hidden="false"/>
    </xf>
    <xf numFmtId="164" fontId="0" fillId="0" borderId="20" xfId="0" applyFont="true" applyBorder="true" applyAlignment="true" applyProtection="false">
      <alignment horizontal="center"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5" fillId="0" borderId="20" xfId="0" applyFont="true" applyBorder="true" applyAlignment="true" applyProtection="false">
      <alignment horizontal="left" vertical="bottom" textRotation="0" wrapText="false" indent="0" shrinkToFit="false"/>
      <protection locked="true" hidden="false"/>
    </xf>
    <xf numFmtId="164" fontId="0" fillId="0" borderId="20" xfId="0" applyFont="true" applyBorder="true" applyAlignment="true" applyProtection="false">
      <alignment horizontal="general" vertical="center" textRotation="0" wrapText="false" indent="0" shrinkToFit="false"/>
      <protection locked="true" hidden="false"/>
    </xf>
    <xf numFmtId="164" fontId="0" fillId="0" borderId="20" xfId="0" applyFont="true" applyBorder="true" applyAlignment="true" applyProtection="false">
      <alignment horizontal="left" vertical="bottom" textRotation="0" wrapText="true" indent="0" shrinkToFit="false"/>
      <protection locked="true" hidden="false"/>
    </xf>
    <xf numFmtId="164" fontId="0" fillId="0" borderId="20" xfId="0" applyFont="false" applyBorder="true" applyAlignment="true" applyProtection="false">
      <alignment horizontal="left" vertical="bottom" textRotation="0" wrapText="false" indent="0" shrinkToFit="false"/>
      <protection locked="true" hidden="false"/>
    </xf>
    <xf numFmtId="164" fontId="0" fillId="0" borderId="6" xfId="0" applyFont="true" applyBorder="true" applyAlignment="true" applyProtection="false">
      <alignment horizontal="center" vertical="center" textRotation="0" wrapText="true" indent="0" shrinkToFit="false"/>
      <protection locked="true" hidden="false"/>
    </xf>
    <xf numFmtId="172" fontId="0" fillId="0" borderId="7" xfId="0" applyFont="false" applyBorder="true" applyAlignment="true" applyProtection="false">
      <alignment horizontal="center" vertical="center" textRotation="0" wrapText="true" indent="0" shrinkToFit="false"/>
      <protection locked="true" hidden="false"/>
    </xf>
    <xf numFmtId="164" fontId="0" fillId="0" borderId="0" xfId="0" applyFont="false" applyBorder="false" applyAlignment="true" applyProtection="false">
      <alignment horizontal="general" vertical="top" textRotation="0" wrapText="true" indent="0" shrinkToFit="false"/>
      <protection locked="true" hidden="false"/>
    </xf>
    <xf numFmtId="164" fontId="5" fillId="0" borderId="0" xfId="0" applyFont="true" applyBorder="false" applyAlignment="true" applyProtection="false">
      <alignment horizontal="general" vertical="top" textRotation="0" wrapText="true" indent="0" shrinkToFit="false"/>
      <protection locked="true" hidden="false"/>
    </xf>
  </cellXfs>
  <cellStyles count="7">
    <cellStyle name="Normal" xfId="0" builtinId="0"/>
    <cellStyle name="Comma" xfId="15" builtinId="3"/>
    <cellStyle name="Comma [0]" xfId="16" builtinId="6"/>
    <cellStyle name="Currency" xfId="17" builtinId="4"/>
    <cellStyle name="Currency [0]" xfId="18" builtinId="7"/>
    <cellStyle name="Percent" xfId="19" builtinId="5"/>
    <cellStyle name="*unknown*" xfId="20" builtinId="8"/>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styles" Target="styles.xml"/><Relationship Id="rId2" Type="http://schemas.openxmlformats.org/officeDocument/2006/relationships/worksheet" Target="worksheets/sheet1.xml"/><Relationship Id="rId3" Type="http://schemas.openxmlformats.org/officeDocument/2006/relationships/worksheet" Target="worksheets/sheet2.xml"/><Relationship Id="rId4" Type="http://schemas.openxmlformats.org/officeDocument/2006/relationships/worksheet" Target="worksheets/sheet3.xml"/><Relationship Id="rId5" Type="http://schemas.openxmlformats.org/officeDocument/2006/relationships/worksheet" Target="worksheets/sheet4.xml"/><Relationship Id="rId6" Type="http://schemas.openxmlformats.org/officeDocument/2006/relationships/worksheet" Target="worksheets/sheet5.xml"/><Relationship Id="rId7" Type="http://schemas.openxmlformats.org/officeDocument/2006/relationships/worksheet" Target="worksheets/sheet6.xml"/><Relationship Id="rId8" Type="http://schemas.openxmlformats.org/officeDocument/2006/relationships/worksheet" Target="worksheets/sheet7.xml"/><Relationship Id="rId9" Type="http://schemas.openxmlformats.org/officeDocument/2006/relationships/worksheet" Target="worksheets/sheet8.xml"/><Relationship Id="rId10" Type="http://schemas.openxmlformats.org/officeDocument/2006/relationships/worksheet" Target="worksheets/sheet9.xml"/><Relationship Id="rId11" Type="http://schemas.openxmlformats.org/officeDocument/2006/relationships/worksheet" Target="worksheets/sheet10.xml"/><Relationship Id="rId12" Type="http://schemas.openxmlformats.org/officeDocument/2006/relationships/externalLink" Target="externalLinks/externalLink1.xml"/><Relationship Id="rId13" Type="http://schemas.openxmlformats.org/officeDocument/2006/relationships/sharedStrings" Target="sharedStrings.xml"/>
</Relationships>
</file>

<file path=xl/drawings/_rels/drawing2.xml.rels><?xml version="1.0" encoding="UTF-8"?>
<Relationships xmlns="http://schemas.openxmlformats.org/package/2006/relationships"><Relationship Id="rId1" Type="http://schemas.openxmlformats.org/officeDocument/2006/relationships/image" Target="../media/image2.png"/>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drawings/drawing2.xml><?xml version="1.0" encoding="utf-8"?>
<xdr:wsDr xmlns:xdr="http://schemas.openxmlformats.org/drawingml/2006/spreadsheetDrawing" xmlns:a="http://schemas.openxmlformats.org/drawingml/2006/main" xmlns:r="http://schemas.openxmlformats.org/officeDocument/2006/relationships">
  <xdr:twoCellAnchor editAs="oneCell">
    <xdr:from>
      <xdr:col>5</xdr:col>
      <xdr:colOff>0</xdr:colOff>
      <xdr:row>3</xdr:row>
      <xdr:rowOff>0</xdr:rowOff>
    </xdr:from>
    <xdr:to>
      <xdr:col>9</xdr:col>
      <xdr:colOff>94320</xdr:colOff>
      <xdr:row>19</xdr:row>
      <xdr:rowOff>3960</xdr:rowOff>
    </xdr:to>
    <xdr:pic>
      <xdr:nvPicPr>
        <xdr:cNvPr id="0" name="Grafik 2" descr="Stakeholderanalyse Projektmanagement"/>
        <xdr:cNvPicPr/>
      </xdr:nvPicPr>
      <xdr:blipFill>
        <a:blip r:embed="rId1"/>
        <a:stretch/>
      </xdr:blipFill>
      <xdr:spPr>
        <a:xfrm>
          <a:off x="8309520" y="662760"/>
          <a:ext cx="3076200" cy="2930040"/>
        </a:xfrm>
        <a:prstGeom prst="rect">
          <a:avLst/>
        </a:prstGeom>
        <a:ln w="0">
          <a:noFill/>
        </a:ln>
      </xdr:spPr>
    </xdr:pic>
    <xdr:clientData/>
  </xdr:twoCellAnchor>
</xdr:wsDr>
</file>

<file path=xl/externalLinks/_rels/externalLink1.xml.rels><?xml version="1.0" encoding="UTF-8"?>
<Relationships xmlns="http://schemas.openxmlformats.org/package/2006/relationships"><Relationship Id="rId1" Type="http://schemas.openxmlformats.org/officeDocument/2006/relationships/externalLinkPath" Target="file:///D:/Users/Philipp/AppData/Local/Temp/OPL_Template.xls" TargetMode="External"/>
</Relationships>
</file>

<file path=xl/externalLinks/externalLink1.xml><?xml version="1.0" encoding="utf-8"?>
<externalLink xmlns="http://schemas.openxmlformats.org/spreadsheetml/2006/main">
  <externalBook xmlns:r="http://schemas.openxmlformats.org/officeDocument/2006/relationships" r:id="rId1">
    <sheetNames>
      <sheetName val="OPL"/>
      <sheetName val="Stammdaten"/>
    </sheetNames>
    <sheetDataSet>
      <sheetData sheetId="0"/>
      <sheetData sheetId="1"/>
    </sheetDataSet>
  </externalBook>
</externalLink>
</file>

<file path=xl/tables/table1.xml><?xml version="1.0" encoding="utf-8"?>
<table xmlns="http://schemas.openxmlformats.org/spreadsheetml/2006/main" id="1" name="Tabelle1" displayName="Tabelle1" ref="A3:K34" headerRowCount="1" totalsRowCount="0" totalsRowShown="0">
  <autoFilter ref="A3:K34"/>
  <tableColumns count="11">
    <tableColumn id="1" name="ID"/>
    <tableColumn id="2" name="Typ"/>
    <tableColumn id="3" name="Initiator"/>
    <tableColumn id="4" name="Datum"/>
    <tableColumn id="5" name="Thema + Beschreibung"/>
    <tableColumn id="6" name="Prio"/>
    <tableColumn id="7" name="Status"/>
    <tableColumn id="8" name="Verantwortlicher"/>
    <tableColumn id="9" name="Termin"/>
    <tableColumn id="10" name="Bemerkungen/Status/Ergebnisse"/>
    <tableColumn id="11" name="Projektmeeting"/>
  </tableColumns>
</table>
</file>

<file path=xl/worksheets/_rels/sheet1.xml.rels><?xml version="1.0" encoding="UTF-8"?>
<Relationships xmlns="http://schemas.openxmlformats.org/package/2006/relationships"><Relationship Id="rId1" Type="http://schemas.openxmlformats.org/officeDocument/2006/relationships/comments" Target="../comments1.xml"/><Relationship Id="rId2" Type="http://schemas.openxmlformats.org/officeDocument/2006/relationships/hyperlink" Target="mailto:philipp.jahn@bildung.gv.at" TargetMode="External"/><Relationship Id="rId3" Type="http://schemas.openxmlformats.org/officeDocument/2006/relationships/hyperlink" Target="https://github.com/philippjahn/car/docu" TargetMode="External"/><Relationship Id="rId4" Type="http://schemas.openxmlformats.org/officeDocument/2006/relationships/hyperlink" Target="https://github.com/philippjahn/car/source" TargetMode="External"/><Relationship Id="rId5" Type="http://schemas.openxmlformats.org/officeDocument/2006/relationships/hyperlink" Target="https://github.com/philippjahn/car/project" TargetMode="External"/><Relationship Id="rId6" Type="http://schemas.openxmlformats.org/officeDocument/2006/relationships/hyperlink" Target="https://github.com/philippjahn/car/research" TargetMode="External"/><Relationship Id="rId7" Type="http://schemas.openxmlformats.org/officeDocument/2006/relationships/vmlDrawing" Target="../drawings/vmlDrawing1.vml"/>
</Relationships>
</file>

<file path=xl/worksheets/_rels/sheet2.xml.rels><?xml version="1.0" encoding="UTF-8"?>
<Relationships xmlns="http://schemas.openxmlformats.org/package/2006/relationships"><Relationship Id="rId1" Type="http://schemas.openxmlformats.org/officeDocument/2006/relationships/comments" Target="../comments2.xml"/><Relationship Id="rId2" Type="http://schemas.openxmlformats.org/officeDocument/2006/relationships/vmlDrawing" Target="../drawings/vmlDrawing2.vml"/>
</Relationships>
</file>

<file path=xl/worksheets/_rels/sheet4.xml.rels><?xml version="1.0" encoding="UTF-8"?>
<Relationships xmlns="http://schemas.openxmlformats.org/package/2006/relationships"><Relationship Id="rId1" Type="http://schemas.openxmlformats.org/officeDocument/2006/relationships/hyperlink" Target="https://www.banggood.com/de/4WD-DIY-Smart-Chassis-Car-Kit-For-Arduino-with-UNO-R3-Ultrasonic-ModuleMotor-drive-board-p-1332912.html?akmClientCountry=AT&amp;rmmds=detail-left-hotproducts__4&amp;cur_warehouse=CN" TargetMode="External"/><Relationship Id="rId2" Type="http://schemas.openxmlformats.org/officeDocument/2006/relationships/hyperlink" Target="https://www.neuhold-elektronik.at/catshop/product_info.php?cPath=36_230&amp;products_id=7117" TargetMode="External"/>
</Relationships>
</file>

<file path=xl/worksheets/_rels/sheet5.xml.rels><?xml version="1.0" encoding="UTF-8"?>
<Relationships xmlns="http://schemas.openxmlformats.org/package/2006/relationships"><Relationship Id="rId1" Type="http://schemas.openxmlformats.org/officeDocument/2006/relationships/comments" Target="../comments5.xml"/><Relationship Id="rId2" Type="http://schemas.openxmlformats.org/officeDocument/2006/relationships/drawing" Target="../drawings/drawing1.xml"/><Relationship Id="rId3" Type="http://schemas.openxmlformats.org/officeDocument/2006/relationships/vmlDrawing" Target="../drawings/vmlDrawing3.vml"/>
</Relationships>
</file>

<file path=xl/worksheets/_rels/sheet6.xml.rels><?xml version="1.0" encoding="UTF-8"?>
<Relationships xmlns="http://schemas.openxmlformats.org/package/2006/relationships"><Relationship Id="rId1" Type="http://schemas.openxmlformats.org/officeDocument/2006/relationships/comments" Target="../comments6.xml"/><Relationship Id="rId2" Type="http://schemas.openxmlformats.org/officeDocument/2006/relationships/vmlDrawing" Target="../drawings/vmlDrawing4.vml"/><Relationship Id="rId3" Type="http://schemas.openxmlformats.org/officeDocument/2006/relationships/table" Target="../tables/table1.xml"/>
</Relationships>
</file>

<file path=xl/worksheets/_rels/sheet7.xml.rels><?xml version="1.0" encoding="UTF-8"?>
<Relationships xmlns="http://schemas.openxmlformats.org/package/2006/relationships"><Relationship Id="rId1" Type="http://schemas.openxmlformats.org/officeDocument/2006/relationships/comments" Target="../comments7.xml"/><Relationship Id="rId2" Type="http://schemas.openxmlformats.org/officeDocument/2006/relationships/vmlDrawing" Target="../drawings/vmlDrawing5.vml"/>
</Relationships>
</file>

<file path=xl/worksheets/_rels/sheet8.xml.rels><?xml version="1.0" encoding="UTF-8"?>
<Relationships xmlns="http://schemas.openxmlformats.org/package/2006/relationships"><Relationship Id="rId1" Type="http://schemas.openxmlformats.org/officeDocument/2006/relationships/drawing" Target="../drawings/drawing2.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true"/>
  </sheetPr>
  <dimension ref="A1:F30"/>
  <sheetViews>
    <sheetView showFormulas="false" showGridLines="true" showRowColHeaders="true" showZeros="true" rightToLeft="false" tabSelected="false" showOutlineSymbols="true" defaultGridColor="true" view="normal" topLeftCell="A16" colorId="64" zoomScale="95" zoomScaleNormal="95" zoomScalePageLayoutView="100" workbookViewId="0">
      <selection pane="topLeft" activeCell="D28" activeCellId="0" sqref="D28"/>
    </sheetView>
  </sheetViews>
  <sheetFormatPr defaultColWidth="11.4609375" defaultRowHeight="14.4" zeroHeight="false" outlineLevelRow="0" outlineLevelCol="0"/>
  <cols>
    <col collapsed="false" customWidth="true" hidden="false" outlineLevel="0" max="1" min="1" style="1" width="17"/>
    <col collapsed="false" customWidth="true" hidden="false" outlineLevel="0" max="2" min="2" style="1" width="22.43"/>
    <col collapsed="false" customWidth="true" hidden="false" outlineLevel="0" max="3" min="3" style="1" width="22.11"/>
    <col collapsed="false" customWidth="true" hidden="false" outlineLevel="0" max="4" min="4" style="1" width="13.1"/>
    <col collapsed="false" customWidth="true" hidden="false" outlineLevel="0" max="6" min="5" style="1" width="19.33"/>
    <col collapsed="false" customWidth="false" hidden="false" outlineLevel="0" max="1024" min="7" style="1" width="11.45"/>
  </cols>
  <sheetData>
    <row r="1" customFormat="false" ht="23.4" hidden="false" customHeight="false" outlineLevel="0" collapsed="false">
      <c r="A1" s="2" t="s">
        <v>0</v>
      </c>
      <c r="B1" s="2"/>
      <c r="C1" s="2"/>
      <c r="D1" s="2"/>
      <c r="E1" s="2"/>
      <c r="F1" s="2"/>
    </row>
    <row r="3" customFormat="false" ht="14.4" hidden="false" customHeight="false" outlineLevel="0" collapsed="false">
      <c r="A3" s="3" t="s">
        <v>1</v>
      </c>
      <c r="B3" s="4" t="n">
        <v>43709</v>
      </c>
      <c r="C3" s="3" t="s">
        <v>2</v>
      </c>
      <c r="D3" s="5" t="s">
        <v>3</v>
      </c>
      <c r="E3" s="6" t="s">
        <v>4</v>
      </c>
    </row>
    <row r="4" customFormat="false" ht="14.4" hidden="false" customHeight="false" outlineLevel="0" collapsed="false">
      <c r="A4" s="3" t="s">
        <v>5</v>
      </c>
      <c r="B4" s="4" t="n">
        <v>44012</v>
      </c>
      <c r="C4" s="3" t="s">
        <v>6</v>
      </c>
      <c r="D4" s="1" t="s">
        <v>7</v>
      </c>
      <c r="E4" s="1" t="s">
        <v>8</v>
      </c>
    </row>
    <row r="6" customFormat="false" ht="15" hidden="false" customHeight="false" outlineLevel="0" collapsed="false"/>
    <row r="7" customFormat="false" ht="15" hidden="false" customHeight="false" outlineLevel="0" collapsed="false">
      <c r="A7" s="7" t="s">
        <v>9</v>
      </c>
      <c r="B7" s="8" t="s">
        <v>10</v>
      </c>
      <c r="C7" s="8" t="s">
        <v>11</v>
      </c>
      <c r="D7" s="9" t="s">
        <v>12</v>
      </c>
      <c r="E7" s="10" t="s">
        <v>13</v>
      </c>
      <c r="F7" s="10"/>
    </row>
    <row r="8" customFormat="false" ht="14.4" hidden="false" customHeight="false" outlineLevel="0" collapsed="false">
      <c r="A8" s="11" t="s">
        <v>14</v>
      </c>
      <c r="B8" s="11" t="s">
        <v>15</v>
      </c>
      <c r="C8" s="11" t="s">
        <v>16</v>
      </c>
      <c r="D8" s="12" t="n">
        <v>1</v>
      </c>
      <c r="E8" s="13" t="s">
        <v>17</v>
      </c>
      <c r="F8" s="13"/>
    </row>
    <row r="9" customFormat="false" ht="14.4" hidden="false" customHeight="false" outlineLevel="0" collapsed="false">
      <c r="A9" s="14"/>
      <c r="B9" s="14"/>
      <c r="C9" s="14"/>
      <c r="D9" s="15"/>
      <c r="E9" s="16"/>
      <c r="F9" s="16"/>
    </row>
    <row r="10" customFormat="false" ht="14.4" hidden="false" customHeight="false" outlineLevel="0" collapsed="false">
      <c r="A10" s="14"/>
      <c r="B10" s="14"/>
      <c r="C10" s="14"/>
      <c r="D10" s="15"/>
      <c r="E10" s="17"/>
      <c r="F10" s="17"/>
    </row>
    <row r="11" customFormat="false" ht="15" hidden="false" customHeight="false" outlineLevel="0" collapsed="false">
      <c r="A11" s="18"/>
      <c r="B11" s="18"/>
      <c r="C11" s="18"/>
      <c r="D11" s="19"/>
      <c r="E11" s="19"/>
      <c r="F11" s="19"/>
    </row>
    <row r="12" customFormat="false" ht="14.4" hidden="false" customHeight="false" outlineLevel="0" collapsed="false">
      <c r="A12" s="20"/>
      <c r="B12" s="20"/>
      <c r="C12" s="20"/>
      <c r="D12" s="21"/>
      <c r="E12" s="21"/>
      <c r="F12" s="21"/>
    </row>
    <row r="13" customFormat="false" ht="15" hidden="false" customHeight="false" outlineLevel="0" collapsed="false"/>
    <row r="14" customFormat="false" ht="15" hidden="false" customHeight="false" outlineLevel="0" collapsed="false">
      <c r="A14" s="22" t="s">
        <v>18</v>
      </c>
      <c r="B14" s="23"/>
      <c r="C14" s="23"/>
      <c r="D14" s="23"/>
      <c r="E14" s="23"/>
      <c r="F14" s="24"/>
    </row>
    <row r="15" customFormat="false" ht="14.4" hidden="false" customHeight="false" outlineLevel="0" collapsed="false">
      <c r="A15" s="25" t="s">
        <v>19</v>
      </c>
      <c r="B15" s="26" t="s">
        <v>20</v>
      </c>
      <c r="C15" s="26"/>
      <c r="D15" s="26"/>
      <c r="E15" s="26"/>
      <c r="F15" s="26"/>
    </row>
    <row r="16" customFormat="false" ht="14.4" hidden="false" customHeight="false" outlineLevel="0" collapsed="false">
      <c r="A16" s="27" t="s">
        <v>21</v>
      </c>
      <c r="B16" s="28" t="s">
        <v>22</v>
      </c>
      <c r="C16" s="28"/>
      <c r="D16" s="28"/>
      <c r="E16" s="28"/>
      <c r="F16" s="28"/>
    </row>
    <row r="17" customFormat="false" ht="14.4" hidden="false" customHeight="false" outlineLevel="0" collapsed="false">
      <c r="A17" s="27" t="s">
        <v>23</v>
      </c>
      <c r="B17" s="28" t="s">
        <v>24</v>
      </c>
      <c r="C17" s="28"/>
      <c r="D17" s="28"/>
      <c r="E17" s="28"/>
      <c r="F17" s="28"/>
    </row>
    <row r="18" customFormat="false" ht="14.4" hidden="false" customHeight="false" outlineLevel="0" collapsed="false">
      <c r="A18" s="27" t="s">
        <v>25</v>
      </c>
      <c r="B18" s="28" t="s">
        <v>26</v>
      </c>
      <c r="C18" s="28"/>
      <c r="D18" s="28"/>
      <c r="E18" s="28"/>
      <c r="F18" s="28"/>
    </row>
    <row r="19" customFormat="false" ht="15" hidden="false" customHeight="false" outlineLevel="0" collapsed="false">
      <c r="A19" s="18"/>
      <c r="B19" s="18"/>
      <c r="C19" s="18"/>
      <c r="D19" s="18"/>
      <c r="E19" s="18"/>
      <c r="F19" s="18"/>
    </row>
    <row r="21" customFormat="false" ht="15" hidden="false" customHeight="false" outlineLevel="0" collapsed="false"/>
    <row r="22" customFormat="false" ht="14.4" hidden="false" customHeight="false" outlineLevel="0" collapsed="false">
      <c r="A22" s="22" t="s">
        <v>27</v>
      </c>
      <c r="B22" s="23"/>
      <c r="C22" s="23"/>
      <c r="D22" s="23"/>
      <c r="E22" s="23"/>
      <c r="F22" s="24"/>
    </row>
    <row r="23" customFormat="false" ht="107.25" hidden="false" customHeight="true" outlineLevel="0" collapsed="false">
      <c r="A23" s="29" t="s">
        <v>28</v>
      </c>
      <c r="B23" s="29"/>
      <c r="C23" s="29"/>
      <c r="D23" s="29"/>
      <c r="E23" s="29"/>
      <c r="F23" s="29"/>
    </row>
    <row r="24" customFormat="false" ht="14.4" hidden="false" customHeight="false" outlineLevel="0" collapsed="false">
      <c r="A24" s="30"/>
      <c r="B24" s="20"/>
      <c r="C24" s="20"/>
      <c r="D24" s="20"/>
      <c r="E24" s="20"/>
      <c r="F24" s="20"/>
    </row>
    <row r="25" customFormat="false" ht="15" hidden="false" customHeight="false" outlineLevel="0" collapsed="false"/>
    <row r="26" customFormat="false" ht="15" hidden="false" customHeight="false" outlineLevel="0" collapsed="false">
      <c r="A26" s="10" t="s">
        <v>29</v>
      </c>
      <c r="B26" s="10"/>
      <c r="C26" s="10"/>
      <c r="D26" s="10" t="s">
        <v>30</v>
      </c>
      <c r="E26" s="10"/>
      <c r="F26" s="10"/>
    </row>
    <row r="27" s="33" customFormat="true" ht="47.25" hidden="false" customHeight="true" outlineLevel="0" collapsed="false">
      <c r="A27" s="31" t="s">
        <v>31</v>
      </c>
      <c r="B27" s="31"/>
      <c r="C27" s="31"/>
      <c r="D27" s="32"/>
      <c r="E27" s="32"/>
      <c r="F27" s="32"/>
    </row>
    <row r="28" s="33" customFormat="true" ht="47.25" hidden="false" customHeight="true" outlineLevel="0" collapsed="false">
      <c r="A28" s="31" t="s">
        <v>32</v>
      </c>
      <c r="B28" s="31"/>
      <c r="C28" s="31"/>
      <c r="D28" s="31"/>
      <c r="E28" s="31"/>
      <c r="F28" s="31"/>
    </row>
    <row r="29" s="33" customFormat="true" ht="47.25" hidden="false" customHeight="true" outlineLevel="0" collapsed="false">
      <c r="A29" s="34" t="s">
        <v>33</v>
      </c>
      <c r="B29" s="34"/>
      <c r="C29" s="34"/>
      <c r="D29" s="31" t="s">
        <v>34</v>
      </c>
      <c r="E29" s="31"/>
      <c r="F29" s="31"/>
    </row>
    <row r="30" customFormat="false" ht="47.25" hidden="false" customHeight="true" outlineLevel="0" collapsed="false">
      <c r="A30" s="35" t="s">
        <v>35</v>
      </c>
      <c r="B30" s="35"/>
      <c r="C30" s="35"/>
      <c r="D30" s="36"/>
      <c r="E30" s="36"/>
      <c r="F30" s="36"/>
    </row>
  </sheetData>
  <mergeCells count="22">
    <mergeCell ref="A1:F1"/>
    <mergeCell ref="E7:F7"/>
    <mergeCell ref="E8:F8"/>
    <mergeCell ref="E9:F9"/>
    <mergeCell ref="E10:F10"/>
    <mergeCell ref="E11:F11"/>
    <mergeCell ref="B15:F15"/>
    <mergeCell ref="B16:F16"/>
    <mergeCell ref="B17:F17"/>
    <mergeCell ref="B18:F18"/>
    <mergeCell ref="B19:F19"/>
    <mergeCell ref="A23:F23"/>
    <mergeCell ref="A26:C26"/>
    <mergeCell ref="D26:F26"/>
    <mergeCell ref="A27:C27"/>
    <mergeCell ref="D27:F27"/>
    <mergeCell ref="A28:C28"/>
    <mergeCell ref="D28:F28"/>
    <mergeCell ref="A29:C29"/>
    <mergeCell ref="D29:F29"/>
    <mergeCell ref="A30:C30"/>
    <mergeCell ref="D30:F30"/>
  </mergeCells>
  <hyperlinks>
    <hyperlink ref="E8" r:id="rId2" display="philipp.jahn@bildung.gv.at"/>
    <hyperlink ref="B15" r:id="rId3" display="https://github.com/philippjahn/car/docu"/>
    <hyperlink ref="B16" r:id="rId4" display="https://github.com/philippjahn/car/source"/>
    <hyperlink ref="B17" r:id="rId5" display="https://github.com/philippjahn/car/project"/>
    <hyperlink ref="B18" r:id="rId6" display="https://github.com/philippjahn/car/research"/>
  </hyperlinks>
  <printOptions headings="false" gridLines="false" gridLinesSet="true" horizontalCentered="false" verticalCentered="false"/>
  <pageMargins left="0.7" right="0.7" top="0.7875" bottom="0.7875" header="0.511811023622047" footer="0.511811023622047"/>
  <pageSetup paperSize="9" scale="100" fitToWidth="1" fitToHeight="0" pageOrder="downThenOver" orientation="portrait" blackAndWhite="false" draft="false" cellComments="none" horizontalDpi="300" verticalDpi="300" copies="1"/>
  <headerFooter differentFirst="false" differentOddEven="false">
    <oddHeader/>
    <oddFooter/>
  </headerFooter>
  <legacyDrawing r:id="rId7"/>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true"/>
  </sheetPr>
  <dimension ref="A1:D23"/>
  <sheetViews>
    <sheetView showFormulas="false" showGridLines="true" showRowColHeaders="true" showZeros="true" rightToLeft="false" tabSelected="false" showOutlineSymbols="true" defaultGridColor="true" view="normal" topLeftCell="A7" colorId="64" zoomScale="95" zoomScaleNormal="95" zoomScalePageLayoutView="100" workbookViewId="0">
      <selection pane="topLeft" activeCell="F8" activeCellId="0" sqref="F8"/>
    </sheetView>
  </sheetViews>
  <sheetFormatPr defaultColWidth="10.578125" defaultRowHeight="14.4" zeroHeight="false" outlineLevelRow="0" outlineLevelCol="0"/>
  <cols>
    <col collapsed="false" customWidth="true" hidden="false" outlineLevel="0" max="1" min="1" style="0" width="7.11"/>
    <col collapsed="false" customWidth="true" hidden="false" outlineLevel="0" max="2" min="2" style="37" width="58.87"/>
    <col collapsed="false" customWidth="true" hidden="false" outlineLevel="0" max="3" min="3" style="37" width="39.55"/>
    <col collapsed="false" customWidth="true" hidden="false" outlineLevel="0" max="4" min="4" style="0" width="7.67"/>
  </cols>
  <sheetData>
    <row r="1" customFormat="false" ht="23.4" hidden="false" customHeight="false" outlineLevel="0" collapsed="false">
      <c r="A1" s="2" t="s">
        <v>36</v>
      </c>
      <c r="B1" s="2"/>
      <c r="C1" s="2"/>
    </row>
    <row r="3" customFormat="false" ht="42" hidden="false" customHeight="true" outlineLevel="0" collapsed="false">
      <c r="B3" s="38" t="s">
        <v>37</v>
      </c>
      <c r="C3" s="38"/>
    </row>
    <row r="4" customFormat="false" ht="84" hidden="false" customHeight="true" outlineLevel="0" collapsed="false">
      <c r="B4" s="38" t="s">
        <v>38</v>
      </c>
      <c r="C4" s="38"/>
    </row>
    <row r="5" customFormat="false" ht="66.75" hidden="false" customHeight="true" outlineLevel="0" collapsed="false">
      <c r="B5" s="38" t="s">
        <v>39</v>
      </c>
      <c r="C5" s="38"/>
    </row>
    <row r="7" customFormat="false" ht="15" hidden="false" customHeight="false" outlineLevel="0" collapsed="false"/>
    <row r="8" customFormat="false" ht="15" hidden="false" customHeight="false" outlineLevel="0" collapsed="false">
      <c r="A8" s="39" t="s">
        <v>40</v>
      </c>
      <c r="B8" s="40" t="s">
        <v>41</v>
      </c>
      <c r="C8" s="40" t="s">
        <v>42</v>
      </c>
      <c r="D8" s="40" t="s">
        <v>43</v>
      </c>
    </row>
    <row r="9" customFormat="false" ht="57.6" hidden="false" customHeight="false" outlineLevel="0" collapsed="false">
      <c r="A9" s="41" t="n">
        <v>10</v>
      </c>
      <c r="B9" s="42" t="s">
        <v>44</v>
      </c>
      <c r="C9" s="43" t="s">
        <v>45</v>
      </c>
      <c r="D9" s="43"/>
    </row>
    <row r="10" customFormat="false" ht="92.4" hidden="false" customHeight="false" outlineLevel="0" collapsed="false">
      <c r="A10" s="41" t="n">
        <v>20</v>
      </c>
      <c r="B10" s="42" t="s">
        <v>46</v>
      </c>
      <c r="C10" s="43" t="s">
        <v>47</v>
      </c>
      <c r="D10" s="43"/>
    </row>
    <row r="11" customFormat="false" ht="43.2" hidden="false" customHeight="false" outlineLevel="0" collapsed="false">
      <c r="A11" s="41" t="n">
        <v>30</v>
      </c>
      <c r="B11" s="42" t="s">
        <v>48</v>
      </c>
      <c r="C11" s="43" t="s">
        <v>49</v>
      </c>
      <c r="D11" s="43"/>
    </row>
    <row r="12" customFormat="false" ht="28.8" hidden="false" customHeight="false" outlineLevel="0" collapsed="false">
      <c r="A12" s="41" t="n">
        <v>40</v>
      </c>
      <c r="B12" s="42" t="s">
        <v>50</v>
      </c>
      <c r="C12" s="43" t="s">
        <v>51</v>
      </c>
      <c r="D12" s="43"/>
    </row>
    <row r="13" customFormat="false" ht="14.4" hidden="false" customHeight="false" outlineLevel="0" collapsed="false">
      <c r="A13" s="41" t="n">
        <v>50</v>
      </c>
      <c r="B13" s="42" t="s">
        <v>52</v>
      </c>
      <c r="C13" s="43" t="s">
        <v>53</v>
      </c>
      <c r="D13" s="43"/>
    </row>
    <row r="14" customFormat="false" ht="28.8" hidden="false" customHeight="false" outlineLevel="0" collapsed="false">
      <c r="A14" s="41" t="n">
        <v>51</v>
      </c>
      <c r="B14" s="42" t="s">
        <v>54</v>
      </c>
      <c r="C14" s="43" t="s">
        <v>55</v>
      </c>
      <c r="D14" s="43"/>
    </row>
    <row r="15" customFormat="false" ht="43.2" hidden="false" customHeight="false" outlineLevel="0" collapsed="false">
      <c r="A15" s="41" t="n">
        <v>52</v>
      </c>
      <c r="B15" s="42" t="s">
        <v>56</v>
      </c>
      <c r="C15" s="43" t="s">
        <v>57</v>
      </c>
      <c r="D15" s="43"/>
    </row>
    <row r="16" customFormat="false" ht="14.4" hidden="false" customHeight="false" outlineLevel="0" collapsed="false">
      <c r="A16" s="41" t="n">
        <v>50</v>
      </c>
      <c r="B16" s="42"/>
      <c r="C16" s="43"/>
      <c r="D16" s="43"/>
    </row>
    <row r="17" customFormat="false" ht="14.4" hidden="false" customHeight="false" outlineLevel="0" collapsed="false">
      <c r="A17" s="41" t="n">
        <v>60</v>
      </c>
      <c r="B17" s="42"/>
      <c r="C17" s="43"/>
      <c r="D17" s="44"/>
    </row>
    <row r="18" customFormat="false" ht="14.4" hidden="false" customHeight="false" outlineLevel="0" collapsed="false">
      <c r="A18" s="41" t="n">
        <v>70</v>
      </c>
      <c r="B18" s="42"/>
      <c r="C18" s="43"/>
      <c r="D18" s="43"/>
    </row>
    <row r="19" customFormat="false" ht="14.4" hidden="false" customHeight="false" outlineLevel="0" collapsed="false">
      <c r="A19" s="41" t="n">
        <v>80</v>
      </c>
      <c r="B19" s="42"/>
      <c r="C19" s="43"/>
      <c r="D19" s="43"/>
    </row>
    <row r="20" customFormat="false" ht="14.4" hidden="false" customHeight="false" outlineLevel="0" collapsed="false">
      <c r="A20" s="41" t="n">
        <v>90</v>
      </c>
      <c r="B20" s="42"/>
      <c r="C20" s="43"/>
      <c r="D20" s="43"/>
    </row>
    <row r="21" customFormat="false" ht="14.4" hidden="false" customHeight="false" outlineLevel="0" collapsed="false">
      <c r="A21" s="41" t="n">
        <v>100</v>
      </c>
      <c r="B21" s="42"/>
      <c r="C21" s="43"/>
      <c r="D21" s="43"/>
    </row>
    <row r="22" customFormat="false" ht="15" hidden="false" customHeight="false" outlineLevel="0" collapsed="false">
      <c r="A22" s="45" t="n">
        <v>110</v>
      </c>
      <c r="B22" s="46"/>
      <c r="C22" s="47"/>
      <c r="D22" s="47"/>
    </row>
    <row r="23" customFormat="false" ht="14.4" hidden="false" customHeight="false" outlineLevel="0" collapsed="false">
      <c r="A23" s="0" t="s">
        <v>35</v>
      </c>
    </row>
  </sheetData>
  <mergeCells count="4">
    <mergeCell ref="A1:C1"/>
    <mergeCell ref="B3:C3"/>
    <mergeCell ref="B4:C4"/>
    <mergeCell ref="B5:C5"/>
  </mergeCells>
  <printOptions headings="false" gridLines="false" gridLinesSet="true" horizontalCentered="false" verticalCentered="false"/>
  <pageMargins left="0.7" right="0.7" top="0.7875" bottom="0.7875" header="0.511811023622047" footer="0.511811023622047"/>
  <pageSetup paperSize="9" scale="100" fitToWidth="1" fitToHeight="0"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true"/>
  </sheetPr>
  <dimension ref="A1:C37"/>
  <sheetViews>
    <sheetView showFormulas="false" showGridLines="true" showRowColHeaders="true" showZeros="true" rightToLeft="false" tabSelected="false" showOutlineSymbols="true" defaultGridColor="true" view="normal" topLeftCell="A1" colorId="64" zoomScale="95" zoomScaleNormal="95" zoomScalePageLayoutView="100" workbookViewId="0">
      <selection pane="topLeft" activeCell="F6" activeCellId="0" sqref="F6"/>
    </sheetView>
  </sheetViews>
  <sheetFormatPr defaultColWidth="10.578125" defaultRowHeight="14.4" zeroHeight="false" outlineLevelRow="0" outlineLevelCol="0"/>
  <cols>
    <col collapsed="false" customWidth="true" hidden="false" outlineLevel="0" max="1" min="1" style="0" width="56.43"/>
    <col collapsed="false" customWidth="true" hidden="false" outlineLevel="0" max="3" min="2" style="0" width="11.64"/>
  </cols>
  <sheetData>
    <row r="1" customFormat="false" ht="23.4" hidden="false" customHeight="true" outlineLevel="0" collapsed="false">
      <c r="A1" s="48" t="s">
        <v>58</v>
      </c>
      <c r="B1" s="48"/>
      <c r="C1" s="48"/>
    </row>
    <row r="2" customFormat="false" ht="14.4" hidden="false" customHeight="false" outlineLevel="0" collapsed="false">
      <c r="A2" s="49"/>
      <c r="B2" s="49"/>
      <c r="C2" s="33"/>
    </row>
    <row r="3" customFormat="false" ht="28.8" hidden="false" customHeight="true" outlineLevel="0" collapsed="false">
      <c r="A3" s="50" t="s">
        <v>59</v>
      </c>
      <c r="B3" s="50"/>
      <c r="C3" s="50"/>
    </row>
    <row r="4" customFormat="false" ht="66" hidden="false" customHeight="true" outlineLevel="0" collapsed="false">
      <c r="A4" s="51" t="s">
        <v>60</v>
      </c>
      <c r="B4" s="51"/>
      <c r="C4" s="51"/>
    </row>
    <row r="5" customFormat="false" ht="15" hidden="false" customHeight="false" outlineLevel="0" collapsed="false">
      <c r="A5" s="49"/>
      <c r="B5" s="49"/>
      <c r="C5" s="33"/>
    </row>
    <row r="6" customFormat="false" ht="15" hidden="false" customHeight="false" outlineLevel="0" collapsed="false">
      <c r="A6" s="39" t="s">
        <v>61</v>
      </c>
      <c r="B6" s="39" t="s">
        <v>62</v>
      </c>
      <c r="C6" s="39" t="s">
        <v>63</v>
      </c>
    </row>
    <row r="7" customFormat="false" ht="14.4" hidden="false" customHeight="false" outlineLevel="0" collapsed="false">
      <c r="A7" s="52" t="s">
        <v>64</v>
      </c>
      <c r="B7" s="53" t="n">
        <v>43845</v>
      </c>
      <c r="C7" s="53" t="n">
        <v>43776</v>
      </c>
    </row>
    <row r="8" customFormat="false" ht="14.4" hidden="false" customHeight="false" outlineLevel="0" collapsed="false">
      <c r="A8" s="54" t="s">
        <v>65</v>
      </c>
      <c r="B8" s="55" t="n">
        <v>43862</v>
      </c>
      <c r="C8" s="55" t="n">
        <v>43835</v>
      </c>
    </row>
    <row r="9" customFormat="false" ht="14.4" hidden="false" customHeight="false" outlineLevel="0" collapsed="false">
      <c r="A9" s="31" t="s">
        <v>66</v>
      </c>
      <c r="B9" s="56" t="n">
        <v>43891</v>
      </c>
      <c r="C9" s="57"/>
    </row>
    <row r="10" customFormat="false" ht="14.4" hidden="false" customHeight="false" outlineLevel="0" collapsed="false">
      <c r="A10" s="31" t="s">
        <v>67</v>
      </c>
      <c r="B10" s="55" t="n">
        <v>43922</v>
      </c>
      <c r="C10" s="57"/>
    </row>
    <row r="11" customFormat="false" ht="14.4" hidden="false" customHeight="false" outlineLevel="0" collapsed="false">
      <c r="A11" s="31" t="s">
        <v>68</v>
      </c>
      <c r="B11" s="56" t="n">
        <v>43952</v>
      </c>
      <c r="C11" s="57"/>
    </row>
    <row r="12" customFormat="false" ht="14.4" hidden="false" customHeight="false" outlineLevel="0" collapsed="false">
      <c r="A12" s="31" t="s">
        <v>69</v>
      </c>
      <c r="B12" s="55" t="n">
        <v>43983</v>
      </c>
      <c r="C12" s="57"/>
    </row>
    <row r="13" customFormat="false" ht="14.4" hidden="false" customHeight="false" outlineLevel="0" collapsed="false">
      <c r="A13" s="31"/>
      <c r="B13" s="57"/>
      <c r="C13" s="57"/>
    </row>
    <row r="14" customFormat="false" ht="14.4" hidden="false" customHeight="false" outlineLevel="0" collapsed="false">
      <c r="B14" s="56"/>
      <c r="C14" s="57"/>
    </row>
    <row r="15" customFormat="false" ht="14.4" hidden="false" customHeight="false" outlineLevel="0" collapsed="false">
      <c r="A15" s="31"/>
      <c r="B15" s="57"/>
      <c r="C15" s="57"/>
    </row>
    <row r="16" customFormat="false" ht="14.4" hidden="false" customHeight="false" outlineLevel="0" collapsed="false">
      <c r="A16" s="31"/>
      <c r="B16" s="57"/>
      <c r="C16" s="57"/>
    </row>
    <row r="17" customFormat="false" ht="14.4" hidden="false" customHeight="false" outlineLevel="0" collapsed="false">
      <c r="A17" s="31"/>
      <c r="B17" s="56"/>
      <c r="C17" s="57"/>
    </row>
    <row r="18" customFormat="false" ht="14.4" hidden="false" customHeight="false" outlineLevel="0" collapsed="false">
      <c r="A18" s="31"/>
      <c r="B18" s="57"/>
      <c r="C18" s="57"/>
    </row>
    <row r="19" customFormat="false" ht="14.4" hidden="false" customHeight="false" outlineLevel="0" collapsed="false">
      <c r="A19" s="31"/>
      <c r="B19" s="57"/>
      <c r="C19" s="57"/>
    </row>
    <row r="20" customFormat="false" ht="14.4" hidden="false" customHeight="false" outlineLevel="0" collapsed="false">
      <c r="A20" s="31"/>
      <c r="B20" s="56"/>
      <c r="C20" s="57"/>
    </row>
    <row r="21" customFormat="false" ht="14.4" hidden="false" customHeight="false" outlineLevel="0" collapsed="false">
      <c r="A21" s="31"/>
      <c r="B21" s="57"/>
      <c r="C21" s="57"/>
    </row>
    <row r="22" customFormat="false" ht="14.4" hidden="false" customHeight="false" outlineLevel="0" collapsed="false">
      <c r="A22" s="31"/>
      <c r="B22" s="57"/>
      <c r="C22" s="57"/>
    </row>
    <row r="23" customFormat="false" ht="14.4" hidden="false" customHeight="false" outlineLevel="0" collapsed="false">
      <c r="A23" s="31"/>
      <c r="B23" s="57"/>
      <c r="C23" s="57"/>
    </row>
    <row r="24" customFormat="false" ht="14.4" hidden="false" customHeight="false" outlineLevel="0" collapsed="false">
      <c r="A24" s="31"/>
      <c r="B24" s="57"/>
      <c r="C24" s="57"/>
    </row>
    <row r="25" customFormat="false" ht="14.4" hidden="false" customHeight="false" outlineLevel="0" collapsed="false">
      <c r="A25" s="31"/>
      <c r="B25" s="57"/>
      <c r="C25" s="57"/>
    </row>
    <row r="26" customFormat="false" ht="14.4" hidden="false" customHeight="false" outlineLevel="0" collapsed="false">
      <c r="A26" s="31"/>
      <c r="B26" s="57"/>
      <c r="C26" s="57"/>
    </row>
    <row r="27" customFormat="false" ht="14.4" hidden="false" customHeight="false" outlineLevel="0" collapsed="false">
      <c r="A27" s="31"/>
      <c r="B27" s="57"/>
      <c r="C27" s="57"/>
    </row>
    <row r="28" customFormat="false" ht="14.4" hidden="false" customHeight="false" outlineLevel="0" collapsed="false">
      <c r="A28" s="31"/>
      <c r="B28" s="57"/>
      <c r="C28" s="57"/>
    </row>
    <row r="29" customFormat="false" ht="14.4" hidden="false" customHeight="false" outlineLevel="0" collapsed="false">
      <c r="A29" s="31"/>
      <c r="B29" s="57"/>
      <c r="C29" s="57"/>
    </row>
    <row r="30" customFormat="false" ht="14.4" hidden="false" customHeight="false" outlineLevel="0" collapsed="false">
      <c r="A30" s="31"/>
      <c r="B30" s="57"/>
      <c r="C30" s="57"/>
    </row>
    <row r="31" customFormat="false" ht="14.4" hidden="false" customHeight="false" outlineLevel="0" collapsed="false">
      <c r="A31" s="31"/>
      <c r="B31" s="57"/>
      <c r="C31" s="57"/>
    </row>
    <row r="32" customFormat="false" ht="14.4" hidden="false" customHeight="false" outlineLevel="0" collapsed="false">
      <c r="A32" s="31"/>
      <c r="B32" s="57"/>
      <c r="C32" s="57"/>
    </row>
    <row r="33" customFormat="false" ht="14.4" hidden="false" customHeight="false" outlineLevel="0" collapsed="false">
      <c r="A33" s="31"/>
      <c r="B33" s="57"/>
      <c r="C33" s="57"/>
    </row>
    <row r="34" customFormat="false" ht="14.4" hidden="false" customHeight="false" outlineLevel="0" collapsed="false">
      <c r="A34" s="31"/>
      <c r="B34" s="57"/>
      <c r="C34" s="57"/>
    </row>
    <row r="35" customFormat="false" ht="14.4" hidden="false" customHeight="false" outlineLevel="0" collapsed="false">
      <c r="A35" s="31"/>
      <c r="B35" s="57"/>
      <c r="C35" s="57"/>
    </row>
    <row r="36" customFormat="false" ht="14.4" hidden="false" customHeight="false" outlineLevel="0" collapsed="false">
      <c r="A36" s="31"/>
      <c r="B36" s="57"/>
      <c r="C36" s="57"/>
    </row>
    <row r="37" customFormat="false" ht="15" hidden="false" customHeight="false" outlineLevel="0" collapsed="false">
      <c r="A37" s="36"/>
      <c r="B37" s="58"/>
      <c r="C37" s="58"/>
    </row>
  </sheetData>
  <mergeCells count="3">
    <mergeCell ref="A1:C1"/>
    <mergeCell ref="A3:C3"/>
    <mergeCell ref="A4:C4"/>
  </mergeCells>
  <printOptions headings="false" gridLines="false" gridLinesSet="true" horizontalCentered="false" verticalCentered="false"/>
  <pageMargins left="0.7" right="0.7" top="0.7875" bottom="0.7875" header="0.511811023622047" footer="0.511811023622047"/>
  <pageSetup paperSize="9" scale="100" fitToWidth="1" fitToHeight="0"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true"/>
  </sheetPr>
  <dimension ref="A1:F21"/>
  <sheetViews>
    <sheetView showFormulas="false" showGridLines="true" showRowColHeaders="true" showZeros="true" rightToLeft="false" tabSelected="false" showOutlineSymbols="true" defaultGridColor="true" view="normal" topLeftCell="A1" colorId="64" zoomScale="95" zoomScaleNormal="95" zoomScalePageLayoutView="100" workbookViewId="0">
      <selection pane="topLeft" activeCell="B11" activeCellId="0" sqref="B11"/>
    </sheetView>
  </sheetViews>
  <sheetFormatPr defaultColWidth="11.4609375" defaultRowHeight="14.4" zeroHeight="false" outlineLevelRow="0" outlineLevelCol="0"/>
  <cols>
    <col collapsed="false" customWidth="true" hidden="false" outlineLevel="0" max="1" min="1" style="49" width="3.45"/>
    <col collapsed="false" customWidth="true" hidden="false" outlineLevel="0" max="2" min="2" style="33" width="43.89"/>
    <col collapsed="false" customWidth="true" hidden="false" outlineLevel="0" max="3" min="3" style="49" width="9.89"/>
    <col collapsed="false" customWidth="true" hidden="false" outlineLevel="0" max="4" min="4" style="33" width="11.89"/>
    <col collapsed="false" customWidth="true" hidden="false" outlineLevel="0" max="5" min="5" style="33" width="17.89"/>
    <col collapsed="false" customWidth="true" hidden="false" outlineLevel="0" max="6" min="6" style="33" width="68.66"/>
    <col collapsed="false" customWidth="false" hidden="false" outlineLevel="0" max="1024" min="7" style="33" width="11.45"/>
  </cols>
  <sheetData>
    <row r="1" customFormat="false" ht="23.4" hidden="false" customHeight="true" outlineLevel="0" collapsed="false">
      <c r="A1" s="48" t="s">
        <v>70</v>
      </c>
      <c r="B1" s="48"/>
      <c r="C1" s="48"/>
      <c r="D1" s="48"/>
      <c r="E1" s="48"/>
      <c r="F1" s="48"/>
    </row>
    <row r="2" customFormat="false" ht="15" hidden="false" customHeight="false" outlineLevel="0" collapsed="false"/>
    <row r="3" s="59" customFormat="true" ht="15" hidden="false" customHeight="false" outlineLevel="0" collapsed="false">
      <c r="A3" s="39" t="s">
        <v>40</v>
      </c>
      <c r="B3" s="39" t="s">
        <v>71</v>
      </c>
      <c r="C3" s="39" t="s">
        <v>72</v>
      </c>
      <c r="D3" s="39" t="s">
        <v>73</v>
      </c>
      <c r="E3" s="39" t="s">
        <v>74</v>
      </c>
      <c r="F3" s="39" t="s">
        <v>75</v>
      </c>
    </row>
    <row r="4" customFormat="false" ht="57.6" hidden="false" customHeight="false" outlineLevel="0" collapsed="false">
      <c r="A4" s="57" t="n">
        <v>1</v>
      </c>
      <c r="B4" s="60" t="s">
        <v>76</v>
      </c>
      <c r="C4" s="57" t="n">
        <v>1</v>
      </c>
      <c r="D4" s="61" t="n">
        <v>33</v>
      </c>
      <c r="E4" s="31"/>
      <c r="F4" s="62" t="s">
        <v>77</v>
      </c>
    </row>
    <row r="5" customFormat="false" ht="28.8" hidden="false" customHeight="false" outlineLevel="0" collapsed="false">
      <c r="A5" s="57" t="n">
        <v>2</v>
      </c>
      <c r="B5" s="31" t="s">
        <v>78</v>
      </c>
      <c r="C5" s="57" t="n">
        <v>2</v>
      </c>
      <c r="D5" s="61" t="n">
        <v>8</v>
      </c>
      <c r="E5" s="31"/>
      <c r="F5" s="62" t="s">
        <v>79</v>
      </c>
    </row>
    <row r="6" customFormat="false" ht="14.4" hidden="false" customHeight="false" outlineLevel="0" collapsed="false">
      <c r="A6" s="57" t="n">
        <v>3</v>
      </c>
      <c r="B6" s="31" t="s">
        <v>80</v>
      </c>
      <c r="C6" s="57" t="n">
        <v>1</v>
      </c>
      <c r="D6" s="61" t="n">
        <v>2.5</v>
      </c>
      <c r="E6" s="31"/>
      <c r="F6" s="62"/>
    </row>
    <row r="7" customFormat="false" ht="14.4" hidden="false" customHeight="false" outlineLevel="0" collapsed="false">
      <c r="A7" s="57" t="n">
        <v>4</v>
      </c>
      <c r="B7" s="31" t="s">
        <v>81</v>
      </c>
      <c r="C7" s="57" t="n">
        <v>1</v>
      </c>
      <c r="D7" s="61" t="n">
        <v>2</v>
      </c>
      <c r="E7" s="31"/>
    </row>
    <row r="8" customFormat="false" ht="14.4" hidden="false" customHeight="false" outlineLevel="0" collapsed="false">
      <c r="A8" s="57" t="n">
        <v>5</v>
      </c>
      <c r="B8" s="31" t="s">
        <v>82</v>
      </c>
      <c r="C8" s="57" t="s">
        <v>83</v>
      </c>
      <c r="D8" s="61" t="n">
        <v>0</v>
      </c>
      <c r="E8" s="31"/>
      <c r="F8" s="31" t="s">
        <v>84</v>
      </c>
    </row>
    <row r="9" customFormat="false" ht="14.4" hidden="false" customHeight="false" outlineLevel="0" collapsed="false">
      <c r="A9" s="57" t="n">
        <v>6</v>
      </c>
      <c r="B9" s="31" t="s">
        <v>85</v>
      </c>
      <c r="C9" s="57" t="n">
        <v>1</v>
      </c>
      <c r="D9" s="61" t="n">
        <v>0</v>
      </c>
      <c r="E9" s="31"/>
      <c r="F9" s="31" t="s">
        <v>84</v>
      </c>
    </row>
    <row r="10" customFormat="false" ht="24" hidden="false" customHeight="false" outlineLevel="0" collapsed="false">
      <c r="A10" s="57" t="n">
        <v>9</v>
      </c>
      <c r="B10" s="31" t="s">
        <v>86</v>
      </c>
      <c r="C10" s="57" t="s">
        <v>83</v>
      </c>
      <c r="D10" s="61" t="n">
        <v>0</v>
      </c>
      <c r="E10" s="31"/>
      <c r="F10" s="31" t="s">
        <v>84</v>
      </c>
    </row>
    <row r="11" customFormat="false" ht="14.4" hidden="false" customHeight="false" outlineLevel="0" collapsed="false">
      <c r="A11" s="57" t="n">
        <v>10</v>
      </c>
      <c r="B11" s="31"/>
      <c r="C11" s="57"/>
      <c r="D11" s="61"/>
      <c r="E11" s="31"/>
      <c r="F11" s="63"/>
    </row>
    <row r="12" customFormat="false" ht="14.4" hidden="false" customHeight="false" outlineLevel="0" collapsed="false">
      <c r="A12" s="57" t="n">
        <v>11</v>
      </c>
      <c r="B12" s="31"/>
      <c r="C12" s="57"/>
      <c r="D12" s="61"/>
      <c r="E12" s="31"/>
      <c r="F12" s="31"/>
    </row>
    <row r="13" customFormat="false" ht="14.4" hidden="false" customHeight="false" outlineLevel="0" collapsed="false">
      <c r="A13" s="57" t="n">
        <v>12</v>
      </c>
      <c r="B13" s="31"/>
      <c r="C13" s="57"/>
      <c r="D13" s="61"/>
      <c r="E13" s="31"/>
      <c r="F13" s="31"/>
    </row>
    <row r="14" customFormat="false" ht="14.4" hidden="false" customHeight="false" outlineLevel="0" collapsed="false">
      <c r="A14" s="57" t="n">
        <v>13</v>
      </c>
      <c r="B14" s="31"/>
      <c r="C14" s="57"/>
      <c r="D14" s="61"/>
      <c r="E14" s="31"/>
      <c r="F14" s="31"/>
    </row>
    <row r="15" customFormat="false" ht="14.4" hidden="false" customHeight="false" outlineLevel="0" collapsed="false">
      <c r="A15" s="57" t="n">
        <v>14</v>
      </c>
      <c r="B15" s="31"/>
      <c r="C15" s="57"/>
      <c r="D15" s="61"/>
      <c r="E15" s="31"/>
      <c r="F15" s="31"/>
    </row>
    <row r="16" customFormat="false" ht="14.4" hidden="false" customHeight="false" outlineLevel="0" collapsed="false">
      <c r="A16" s="57" t="n">
        <v>26</v>
      </c>
      <c r="B16" s="31"/>
      <c r="C16" s="57"/>
      <c r="D16" s="31"/>
      <c r="E16" s="31"/>
      <c r="F16" s="31"/>
    </row>
    <row r="17" customFormat="false" ht="14.4" hidden="false" customHeight="false" outlineLevel="0" collapsed="false">
      <c r="A17" s="57" t="n">
        <v>27</v>
      </c>
      <c r="B17" s="31"/>
      <c r="C17" s="57"/>
      <c r="D17" s="31"/>
      <c r="E17" s="31"/>
      <c r="F17" s="31"/>
    </row>
    <row r="18" customFormat="false" ht="14.4" hidden="false" customHeight="false" outlineLevel="0" collapsed="false">
      <c r="A18" s="57" t="n">
        <v>28</v>
      </c>
      <c r="B18" s="31"/>
      <c r="C18" s="57"/>
      <c r="D18" s="31"/>
      <c r="E18" s="31"/>
      <c r="F18" s="31"/>
    </row>
    <row r="19" customFormat="false" ht="14.4" hidden="false" customHeight="false" outlineLevel="0" collapsed="false">
      <c r="A19" s="57" t="n">
        <v>29</v>
      </c>
      <c r="B19" s="31"/>
      <c r="C19" s="57"/>
      <c r="D19" s="31"/>
      <c r="E19" s="31"/>
      <c r="F19" s="31"/>
    </row>
    <row r="20" customFormat="false" ht="15" hidden="false" customHeight="false" outlineLevel="0" collapsed="false">
      <c r="A20" s="58" t="n">
        <v>30</v>
      </c>
      <c r="B20" s="36"/>
      <c r="C20" s="58"/>
      <c r="D20" s="36"/>
      <c r="E20" s="36"/>
      <c r="F20" s="36"/>
    </row>
    <row r="21" s="59" customFormat="true" ht="14.4" hidden="false" customHeight="false" outlineLevel="0" collapsed="false">
      <c r="A21" s="64"/>
      <c r="B21" s="59" t="s">
        <v>87</v>
      </c>
      <c r="C21" s="64"/>
      <c r="D21" s="65" t="n">
        <f aca="false">SUM(D4:D20)</f>
        <v>45.5</v>
      </c>
    </row>
  </sheetData>
  <mergeCells count="1">
    <mergeCell ref="A1:F1"/>
  </mergeCells>
  <hyperlinks>
    <hyperlink ref="F4" r:id="rId1" display="https://www.banggood.com/de/4WD-DIY-Smart-Chassis-Car-Kit-For-Arduino-with-UNO-R3-Ultrasonic-ModuleMotor-drive-board-p-1332912.html?akmClientCountry=AT&amp;rmmds=detail-left-hotproducts__4&amp;cur_warehouse=CN"/>
    <hyperlink ref="F5" r:id="rId2" display="https://www.neuhold-elektronik.at/catshop/product_info.php?cPath=36_230&amp;products_id=7117"/>
  </hyperlinks>
  <printOptions headings="false" gridLines="false" gridLinesSet="true" horizontalCentered="false" verticalCentered="false"/>
  <pageMargins left="0.7" right="0.7" top="0.7875" bottom="0.7875" header="0.511811023622047" footer="0.511811023622047"/>
  <pageSetup paperSize="9"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true"/>
  </sheetPr>
  <dimension ref="A1:I1048576"/>
  <sheetViews>
    <sheetView showFormulas="false" showGridLines="true" showRowColHeaders="true" showZeros="true" rightToLeft="false" tabSelected="false" showOutlineSymbols="true" defaultGridColor="true" view="normal" topLeftCell="A16" colorId="64" zoomScale="95" zoomScaleNormal="95" zoomScalePageLayoutView="100" workbookViewId="0">
      <selection pane="topLeft" activeCell="A27" activeCellId="0" sqref="A27"/>
    </sheetView>
  </sheetViews>
  <sheetFormatPr defaultColWidth="10.578125" defaultRowHeight="14.4" zeroHeight="false" outlineLevelRow="0" outlineLevelCol="0"/>
  <cols>
    <col collapsed="false" customWidth="true" hidden="false" outlineLevel="0" max="1" min="1" style="0" width="7.11"/>
    <col collapsed="false" customWidth="true" hidden="false" outlineLevel="0" max="2" min="2" style="0" width="65.88"/>
    <col collapsed="false" customWidth="true" hidden="false" outlineLevel="0" max="3" min="3" style="66" width="20.11"/>
    <col collapsed="false" customWidth="true" hidden="false" outlineLevel="0" max="6" min="4" style="66" width="13.66"/>
    <col collapsed="false" customWidth="true" hidden="false" outlineLevel="0" max="8" min="7" style="66" width="14.43"/>
    <col collapsed="false" customWidth="true" hidden="false" outlineLevel="0" max="9" min="9" style="0" width="27.99"/>
  </cols>
  <sheetData>
    <row r="1" s="1" customFormat="true" ht="23.4" hidden="false" customHeight="false" outlineLevel="0" collapsed="false">
      <c r="A1" s="2" t="s">
        <v>88</v>
      </c>
      <c r="B1" s="2"/>
      <c r="C1" s="2"/>
      <c r="D1" s="2"/>
      <c r="E1" s="2"/>
      <c r="F1" s="2"/>
      <c r="G1" s="2"/>
      <c r="H1" s="2"/>
    </row>
    <row r="2" customFormat="false" ht="15" hidden="false" customHeight="false" outlineLevel="0" collapsed="false"/>
    <row r="3" customFormat="false" ht="40.2" hidden="false" customHeight="false" outlineLevel="0" collapsed="false">
      <c r="A3" s="39" t="s">
        <v>40</v>
      </c>
      <c r="B3" s="67" t="s">
        <v>89</v>
      </c>
      <c r="C3" s="67" t="s">
        <v>90</v>
      </c>
      <c r="D3" s="67" t="s">
        <v>91</v>
      </c>
      <c r="E3" s="67" t="s">
        <v>92</v>
      </c>
      <c r="F3" s="67" t="s">
        <v>93</v>
      </c>
      <c r="G3" s="67" t="s">
        <v>94</v>
      </c>
      <c r="H3" s="67" t="s">
        <v>95</v>
      </c>
      <c r="I3" s="67" t="s">
        <v>96</v>
      </c>
    </row>
    <row r="4" customFormat="false" ht="14.4" hidden="false" customHeight="false" outlineLevel="0" collapsed="false">
      <c r="A4" s="68" t="n">
        <v>10</v>
      </c>
      <c r="B4" s="69" t="s">
        <v>97</v>
      </c>
      <c r="C4" s="70"/>
      <c r="D4" s="70"/>
      <c r="E4" s="70"/>
      <c r="F4" s="70"/>
      <c r="G4" s="70"/>
      <c r="H4" s="70"/>
      <c r="I4" s="71"/>
    </row>
    <row r="5" customFormat="false" ht="13.8" hidden="false" customHeight="false" outlineLevel="0" collapsed="false">
      <c r="A5" s="41" t="n">
        <v>11</v>
      </c>
      <c r="B5" s="72" t="s">
        <v>98</v>
      </c>
      <c r="C5" s="73" t="s">
        <v>7</v>
      </c>
      <c r="D5" s="74" t="n">
        <v>2</v>
      </c>
      <c r="E5" s="73" t="n">
        <v>3.5</v>
      </c>
      <c r="F5" s="73" t="n">
        <v>2</v>
      </c>
      <c r="G5" s="75" t="n">
        <v>44712</v>
      </c>
      <c r="H5" s="73"/>
      <c r="I5" s="76"/>
    </row>
    <row r="6" customFormat="false" ht="13.8" hidden="false" customHeight="false" outlineLevel="0" collapsed="false">
      <c r="A6" s="41" t="n">
        <v>12</v>
      </c>
      <c r="B6" s="77" t="s">
        <v>99</v>
      </c>
      <c r="C6" s="73" t="s">
        <v>7</v>
      </c>
      <c r="D6" s="74" t="n">
        <v>1</v>
      </c>
      <c r="E6" s="73" t="n">
        <v>4.5</v>
      </c>
      <c r="F6" s="73" t="n">
        <v>0</v>
      </c>
      <c r="G6" s="75" t="n">
        <v>43862</v>
      </c>
      <c r="H6" s="75" t="n">
        <v>44177</v>
      </c>
      <c r="I6" s="76"/>
    </row>
    <row r="7" customFormat="false" ht="24.05" hidden="false" customHeight="false" outlineLevel="0" collapsed="false">
      <c r="A7" s="41" t="n">
        <v>13</v>
      </c>
      <c r="B7" s="72" t="s">
        <v>19</v>
      </c>
      <c r="C7" s="73" t="s">
        <v>7</v>
      </c>
      <c r="D7" s="74" t="n">
        <v>3</v>
      </c>
      <c r="E7" s="73" t="n">
        <v>1</v>
      </c>
      <c r="F7" s="73" t="n">
        <v>2.5</v>
      </c>
      <c r="G7" s="75" t="n">
        <v>44712</v>
      </c>
      <c r="H7" s="73"/>
      <c r="I7" s="76" t="s">
        <v>100</v>
      </c>
    </row>
    <row r="8" customFormat="false" ht="24.05" hidden="false" customHeight="false" outlineLevel="0" collapsed="false">
      <c r="A8" s="41" t="n">
        <v>14</v>
      </c>
      <c r="B8" s="77" t="s">
        <v>101</v>
      </c>
      <c r="C8" s="73" t="s">
        <v>7</v>
      </c>
      <c r="D8" s="74" t="n">
        <v>3</v>
      </c>
      <c r="E8" s="73" t="n">
        <v>3</v>
      </c>
      <c r="F8" s="73" t="n">
        <v>0</v>
      </c>
      <c r="G8" s="75" t="n">
        <v>44136</v>
      </c>
      <c r="H8" s="75" t="n">
        <v>44166</v>
      </c>
      <c r="I8" s="76" t="s">
        <v>102</v>
      </c>
    </row>
    <row r="9" customFormat="false" ht="39.6" hidden="false" customHeight="false" outlineLevel="0" collapsed="false">
      <c r="A9" s="41" t="n">
        <v>15</v>
      </c>
      <c r="B9" s="77" t="s">
        <v>103</v>
      </c>
      <c r="C9" s="73" t="s">
        <v>7</v>
      </c>
      <c r="D9" s="74" t="s">
        <v>53</v>
      </c>
      <c r="E9" s="73" t="n">
        <v>4</v>
      </c>
      <c r="F9" s="73" t="n">
        <v>0</v>
      </c>
      <c r="G9" s="75" t="s">
        <v>53</v>
      </c>
      <c r="H9" s="75" t="n">
        <v>43885</v>
      </c>
      <c r="I9" s="76" t="s">
        <v>104</v>
      </c>
    </row>
    <row r="10" customFormat="false" ht="13.8" hidden="false" customHeight="false" outlineLevel="0" collapsed="false">
      <c r="A10" s="41" t="s">
        <v>53</v>
      </c>
      <c r="B10" s="77"/>
      <c r="C10" s="73"/>
      <c r="D10" s="73"/>
      <c r="E10" s="73"/>
      <c r="F10" s="73"/>
      <c r="G10" s="75"/>
      <c r="H10" s="73"/>
      <c r="I10" s="76"/>
    </row>
    <row r="11" customFormat="false" ht="14.4" hidden="false" customHeight="false" outlineLevel="0" collapsed="false">
      <c r="A11" s="78" t="n">
        <v>20</v>
      </c>
      <c r="B11" s="69" t="s">
        <v>105</v>
      </c>
      <c r="C11" s="73"/>
      <c r="D11" s="73"/>
      <c r="E11" s="73"/>
      <c r="F11" s="73"/>
      <c r="G11" s="73"/>
      <c r="H11" s="73"/>
      <c r="I11" s="76"/>
    </row>
    <row r="12" customFormat="false" ht="26.4" hidden="false" customHeight="false" outlineLevel="0" collapsed="false">
      <c r="A12" s="41" t="n">
        <v>21</v>
      </c>
      <c r="B12" s="77" t="s">
        <v>106</v>
      </c>
      <c r="C12" s="73" t="s">
        <v>7</v>
      </c>
      <c r="D12" s="74" t="n">
        <v>1</v>
      </c>
      <c r="E12" s="73" t="n">
        <v>2</v>
      </c>
      <c r="F12" s="73" t="n">
        <v>0</v>
      </c>
      <c r="G12" s="75" t="n">
        <v>44599</v>
      </c>
      <c r="H12" s="75" t="n">
        <v>44563</v>
      </c>
      <c r="I12" s="76" t="s">
        <v>107</v>
      </c>
    </row>
    <row r="13" customFormat="false" ht="14.4" hidden="false" customHeight="false" outlineLevel="0" collapsed="false">
      <c r="A13" s="41" t="n">
        <v>22</v>
      </c>
      <c r="B13" s="77" t="s">
        <v>108</v>
      </c>
      <c r="C13" s="73" t="s">
        <v>7</v>
      </c>
      <c r="D13" s="74" t="n">
        <v>2</v>
      </c>
      <c r="E13" s="73" t="n">
        <v>1</v>
      </c>
      <c r="F13" s="73" t="n">
        <v>0</v>
      </c>
      <c r="G13" s="75" t="n">
        <v>44600</v>
      </c>
      <c r="H13" s="75" t="n">
        <v>44564</v>
      </c>
      <c r="I13" s="76"/>
    </row>
    <row r="14" customFormat="false" ht="26.4" hidden="false" customHeight="false" outlineLevel="0" collapsed="false">
      <c r="A14" s="41" t="n">
        <v>23</v>
      </c>
      <c r="B14" s="77" t="s">
        <v>109</v>
      </c>
      <c r="C14" s="73" t="s">
        <v>7</v>
      </c>
      <c r="D14" s="74" t="n">
        <v>2</v>
      </c>
      <c r="E14" s="73" t="n">
        <v>2</v>
      </c>
      <c r="F14" s="73" t="n">
        <v>0</v>
      </c>
      <c r="G14" s="75" t="n">
        <v>44601</v>
      </c>
      <c r="H14" s="75" t="n">
        <v>44566</v>
      </c>
      <c r="I14" s="76"/>
    </row>
    <row r="15" customFormat="false" ht="13.8" hidden="false" customHeight="false" outlineLevel="0" collapsed="false">
      <c r="A15" s="41" t="n">
        <v>24</v>
      </c>
      <c r="B15" s="77" t="s">
        <v>110</v>
      </c>
      <c r="C15" s="73" t="s">
        <v>7</v>
      </c>
      <c r="D15" s="74" t="n">
        <v>2</v>
      </c>
      <c r="E15" s="73" t="n">
        <v>2</v>
      </c>
      <c r="F15" s="73" t="n">
        <v>0</v>
      </c>
      <c r="G15" s="75" t="n">
        <v>44602</v>
      </c>
      <c r="H15" s="75" t="n">
        <v>44612</v>
      </c>
      <c r="I15" s="76"/>
    </row>
    <row r="16" customFormat="false" ht="24.05" hidden="false" customHeight="false" outlineLevel="0" collapsed="false">
      <c r="A16" s="41" t="n">
        <v>25</v>
      </c>
      <c r="B16" s="77" t="s">
        <v>111</v>
      </c>
      <c r="C16" s="73" t="s">
        <v>7</v>
      </c>
      <c r="D16" s="74" t="n">
        <v>3</v>
      </c>
      <c r="E16" s="73" t="n">
        <v>2</v>
      </c>
      <c r="F16" s="73" t="n">
        <v>1</v>
      </c>
      <c r="G16" s="75" t="n">
        <v>44603</v>
      </c>
      <c r="H16" s="75" t="n">
        <v>44615</v>
      </c>
      <c r="I16" s="76" t="s">
        <v>112</v>
      </c>
    </row>
    <row r="17" customFormat="false" ht="24.05" hidden="false" customHeight="false" outlineLevel="0" collapsed="false">
      <c r="A17" s="41" t="n">
        <v>26</v>
      </c>
      <c r="B17" s="77" t="s">
        <v>113</v>
      </c>
      <c r="C17" s="73" t="s">
        <v>7</v>
      </c>
      <c r="D17" s="74" t="n">
        <v>3</v>
      </c>
      <c r="E17" s="73" t="n">
        <v>3</v>
      </c>
      <c r="F17" s="73" t="n">
        <v>0</v>
      </c>
      <c r="G17" s="75" t="n">
        <v>44627</v>
      </c>
      <c r="H17" s="75" t="n">
        <v>44627</v>
      </c>
      <c r="I17" s="76" t="s">
        <v>114</v>
      </c>
    </row>
    <row r="18" customFormat="false" ht="13.8" hidden="false" customHeight="false" outlineLevel="0" collapsed="false">
      <c r="A18" s="41" t="s">
        <v>53</v>
      </c>
      <c r="B18" s="77"/>
      <c r="C18" s="73"/>
      <c r="D18" s="73"/>
      <c r="E18" s="73"/>
      <c r="F18" s="73"/>
      <c r="G18" s="73"/>
      <c r="H18" s="75"/>
      <c r="I18" s="76"/>
    </row>
    <row r="19" customFormat="false" ht="13.8" hidden="false" customHeight="false" outlineLevel="0" collapsed="false">
      <c r="A19" s="78" t="n">
        <v>30</v>
      </c>
      <c r="B19" s="69" t="s">
        <v>115</v>
      </c>
      <c r="C19" s="73"/>
      <c r="D19" s="73"/>
      <c r="E19" s="73"/>
      <c r="F19" s="73"/>
      <c r="G19" s="73"/>
      <c r="H19" s="75"/>
      <c r="I19" s="76"/>
    </row>
    <row r="20" customFormat="false" ht="35.5" hidden="false" customHeight="false" outlineLevel="0" collapsed="false">
      <c r="A20" s="41" t="n">
        <v>31</v>
      </c>
      <c r="B20" s="77" t="s">
        <v>116</v>
      </c>
      <c r="C20" s="73" t="s">
        <v>7</v>
      </c>
      <c r="D20" s="74" t="n">
        <v>3</v>
      </c>
      <c r="E20" s="73" t="n">
        <v>5</v>
      </c>
      <c r="F20" s="73" t="n">
        <v>0</v>
      </c>
      <c r="G20" s="75" t="n">
        <v>44597</v>
      </c>
      <c r="H20" s="75" t="n">
        <v>44564</v>
      </c>
      <c r="I20" s="76" t="s">
        <v>117</v>
      </c>
    </row>
    <row r="21" customFormat="false" ht="103.8" hidden="false" customHeight="false" outlineLevel="0" collapsed="false">
      <c r="A21" s="41" t="n">
        <v>32</v>
      </c>
      <c r="B21" s="77" t="s">
        <v>118</v>
      </c>
      <c r="C21" s="73" t="s">
        <v>7</v>
      </c>
      <c r="D21" s="74" t="n">
        <v>2</v>
      </c>
      <c r="E21" s="73" t="n">
        <v>6</v>
      </c>
      <c r="F21" s="73" t="n">
        <v>0</v>
      </c>
      <c r="G21" s="75" t="n">
        <v>43866</v>
      </c>
      <c r="H21" s="75" t="n">
        <v>43833</v>
      </c>
      <c r="I21" s="76" t="s">
        <v>119</v>
      </c>
    </row>
    <row r="22" customFormat="false" ht="35.5" hidden="false" customHeight="false" outlineLevel="0" collapsed="false">
      <c r="A22" s="41" t="n">
        <v>33</v>
      </c>
      <c r="B22" s="77" t="s">
        <v>120</v>
      </c>
      <c r="C22" s="73" t="s">
        <v>7</v>
      </c>
      <c r="D22" s="74" t="n">
        <v>4</v>
      </c>
      <c r="E22" s="73" t="n">
        <v>3</v>
      </c>
      <c r="F22" s="73" t="n">
        <v>0</v>
      </c>
      <c r="G22" s="75" t="n">
        <v>44604</v>
      </c>
      <c r="H22" s="79" t="s">
        <v>121</v>
      </c>
      <c r="I22" s="76" t="s">
        <v>122</v>
      </c>
    </row>
    <row r="23" customFormat="false" ht="58.4" hidden="false" customHeight="false" outlineLevel="0" collapsed="false">
      <c r="A23" s="41" t="n">
        <v>34</v>
      </c>
      <c r="B23" s="77" t="s">
        <v>123</v>
      </c>
      <c r="C23" s="73" t="s">
        <v>7</v>
      </c>
      <c r="D23" s="74" t="n">
        <v>4</v>
      </c>
      <c r="E23" s="73" t="n">
        <v>4</v>
      </c>
      <c r="F23" s="73" t="n">
        <v>2</v>
      </c>
      <c r="G23" s="75" t="n">
        <v>44603</v>
      </c>
      <c r="H23" s="80" t="s">
        <v>124</v>
      </c>
      <c r="I23" s="76" t="s">
        <v>125</v>
      </c>
    </row>
    <row r="24" customFormat="false" ht="46.95" hidden="false" customHeight="false" outlineLevel="0" collapsed="false">
      <c r="A24" s="41" t="n">
        <v>35</v>
      </c>
      <c r="B24" s="77" t="s">
        <v>126</v>
      </c>
      <c r="C24" s="73" t="s">
        <v>7</v>
      </c>
      <c r="D24" s="74" t="s">
        <v>53</v>
      </c>
      <c r="E24" s="73" t="n">
        <v>0</v>
      </c>
      <c r="F24" s="73" t="n">
        <v>4</v>
      </c>
      <c r="G24" s="75" t="n">
        <v>44603</v>
      </c>
      <c r="H24" s="80" t="s">
        <v>124</v>
      </c>
      <c r="I24" s="76" t="s">
        <v>127</v>
      </c>
    </row>
    <row r="25" s="81" customFormat="true" ht="13.8" hidden="false" customHeight="false" outlineLevel="0" collapsed="false">
      <c r="A25" s="41" t="n">
        <v>36</v>
      </c>
      <c r="B25" s="77" t="s">
        <v>128</v>
      </c>
      <c r="C25" s="73" t="s">
        <v>7</v>
      </c>
      <c r="D25" s="74" t="n">
        <v>2</v>
      </c>
      <c r="E25" s="73" t="n">
        <v>1</v>
      </c>
      <c r="F25" s="73" t="n">
        <v>0</v>
      </c>
      <c r="G25" s="75" t="n">
        <v>44627</v>
      </c>
      <c r="H25" s="75" t="n">
        <v>44627</v>
      </c>
      <c r="I25" s="76"/>
    </row>
    <row r="26" s="81" customFormat="true" ht="24.05" hidden="false" customHeight="false" outlineLevel="0" collapsed="false">
      <c r="A26" s="41" t="n">
        <v>37</v>
      </c>
      <c r="B26" s="72" t="s">
        <v>129</v>
      </c>
      <c r="C26" s="73" t="s">
        <v>7</v>
      </c>
      <c r="D26" s="74" t="n">
        <v>4</v>
      </c>
      <c r="E26" s="73" t="n">
        <v>2</v>
      </c>
      <c r="F26" s="73" t="n">
        <v>2</v>
      </c>
      <c r="G26" s="75" t="n">
        <v>44634</v>
      </c>
      <c r="H26" s="75"/>
      <c r="I26" s="76"/>
    </row>
    <row r="27" customFormat="false" ht="13.8" hidden="false" customHeight="false" outlineLevel="0" collapsed="false">
      <c r="A27" s="41" t="s">
        <v>53</v>
      </c>
      <c r="B27" s="77"/>
      <c r="C27" s="73"/>
      <c r="D27" s="73"/>
      <c r="E27" s="73"/>
      <c r="F27" s="73"/>
      <c r="G27" s="75"/>
      <c r="H27" s="75"/>
      <c r="I27" s="76"/>
    </row>
    <row r="28" s="81" customFormat="true" ht="13.8" hidden="false" customHeight="false" outlineLevel="0" collapsed="false">
      <c r="A28" s="78" t="n">
        <v>40</v>
      </c>
      <c r="B28" s="69" t="s">
        <v>130</v>
      </c>
      <c r="C28" s="73"/>
      <c r="D28" s="73"/>
      <c r="E28" s="73"/>
      <c r="F28" s="73"/>
      <c r="G28" s="75"/>
      <c r="H28" s="75"/>
      <c r="I28" s="76"/>
    </row>
    <row r="29" s="81" customFormat="true" ht="46.95" hidden="false" customHeight="false" outlineLevel="0" collapsed="false">
      <c r="A29" s="82" t="n">
        <v>41</v>
      </c>
      <c r="B29" s="77" t="s">
        <v>131</v>
      </c>
      <c r="C29" s="73" t="s">
        <v>7</v>
      </c>
      <c r="D29" s="83" t="n">
        <v>1</v>
      </c>
      <c r="E29" s="84" t="n">
        <v>2</v>
      </c>
      <c r="F29" s="84" t="n">
        <v>0</v>
      </c>
      <c r="G29" s="75" t="n">
        <v>44634</v>
      </c>
      <c r="H29" s="75" t="n">
        <v>44627</v>
      </c>
      <c r="I29" s="85" t="s">
        <v>132</v>
      </c>
    </row>
    <row r="30" s="81" customFormat="true" ht="69.85" hidden="false" customHeight="false" outlineLevel="0" collapsed="false">
      <c r="A30" s="82" t="n">
        <v>42</v>
      </c>
      <c r="B30" s="86" t="s">
        <v>133</v>
      </c>
      <c r="C30" s="73" t="s">
        <v>7</v>
      </c>
      <c r="D30" s="83" t="n">
        <v>3</v>
      </c>
      <c r="E30" s="84" t="n">
        <v>2</v>
      </c>
      <c r="F30" s="84" t="n">
        <v>2</v>
      </c>
      <c r="G30" s="75" t="n">
        <v>44634</v>
      </c>
      <c r="H30" s="75"/>
      <c r="I30" s="85" t="s">
        <v>134</v>
      </c>
    </row>
    <row r="31" s="81" customFormat="true" ht="13.8" hidden="false" customHeight="false" outlineLevel="0" collapsed="false">
      <c r="A31" s="82" t="n">
        <v>43</v>
      </c>
      <c r="B31" s="86" t="s">
        <v>135</v>
      </c>
      <c r="C31" s="73" t="s">
        <v>7</v>
      </c>
      <c r="D31" s="83" t="n">
        <v>2</v>
      </c>
      <c r="E31" s="84" t="n">
        <v>0</v>
      </c>
      <c r="F31" s="84" t="n">
        <v>2</v>
      </c>
      <c r="G31" s="75" t="n">
        <v>44641</v>
      </c>
      <c r="H31" s="75"/>
      <c r="I31" s="85"/>
    </row>
    <row r="32" s="81" customFormat="true" ht="13.8" hidden="false" customHeight="false" outlineLevel="0" collapsed="false">
      <c r="A32" s="82" t="n">
        <v>44</v>
      </c>
      <c r="B32" s="86" t="s">
        <v>136</v>
      </c>
      <c r="C32" s="73" t="s">
        <v>7</v>
      </c>
      <c r="D32" s="83" t="n">
        <v>6</v>
      </c>
      <c r="E32" s="84" t="n">
        <v>1</v>
      </c>
      <c r="F32" s="84" t="n">
        <v>5</v>
      </c>
      <c r="G32" s="75" t="n">
        <v>44648</v>
      </c>
      <c r="H32" s="75"/>
      <c r="I32" s="85"/>
    </row>
    <row r="33" s="81" customFormat="true" ht="24.05" hidden="false" customHeight="false" outlineLevel="0" collapsed="false">
      <c r="A33" s="82" t="n">
        <v>45</v>
      </c>
      <c r="B33" s="87" t="s">
        <v>137</v>
      </c>
      <c r="C33" s="73" t="s">
        <v>7</v>
      </c>
      <c r="D33" s="83" t="n">
        <v>6</v>
      </c>
      <c r="E33" s="84" t="n">
        <v>0</v>
      </c>
      <c r="F33" s="84" t="n">
        <v>6</v>
      </c>
      <c r="G33" s="75" t="n">
        <v>44676</v>
      </c>
      <c r="H33" s="80" t="s">
        <v>138</v>
      </c>
      <c r="I33" s="85"/>
    </row>
    <row r="34" customFormat="false" ht="24.05" hidden="false" customHeight="false" outlineLevel="0" collapsed="false">
      <c r="A34" s="41" t="n">
        <v>46</v>
      </c>
      <c r="B34" s="88" t="s">
        <v>139</v>
      </c>
      <c r="C34" s="73" t="s">
        <v>7</v>
      </c>
      <c r="D34" s="74" t="n">
        <v>12</v>
      </c>
      <c r="E34" s="73" t="n">
        <v>0</v>
      </c>
      <c r="F34" s="73" t="n">
        <v>12</v>
      </c>
      <c r="G34" s="75" t="n">
        <v>44683</v>
      </c>
      <c r="H34" s="80" t="s">
        <v>138</v>
      </c>
      <c r="I34" s="76"/>
    </row>
    <row r="35" s="81" customFormat="true" ht="13.8" hidden="false" customHeight="false" outlineLevel="0" collapsed="false">
      <c r="A35" s="82"/>
      <c r="B35" s="89"/>
      <c r="C35" s="84"/>
      <c r="D35" s="84"/>
      <c r="E35" s="84"/>
      <c r="F35" s="84"/>
      <c r="G35" s="75"/>
      <c r="H35" s="75"/>
      <c r="I35" s="85"/>
    </row>
    <row r="36" s="81" customFormat="true" ht="13.8" hidden="false" customHeight="false" outlineLevel="0" collapsed="false">
      <c r="A36" s="82"/>
      <c r="B36" s="89"/>
      <c r="C36" s="84"/>
      <c r="D36" s="84"/>
      <c r="E36" s="84"/>
      <c r="F36" s="84"/>
      <c r="G36" s="75"/>
      <c r="H36" s="75"/>
      <c r="I36" s="85"/>
    </row>
    <row r="37" s="81" customFormat="true" ht="13.8" hidden="false" customHeight="false" outlineLevel="0" collapsed="false">
      <c r="A37" s="45"/>
      <c r="B37" s="90"/>
      <c r="C37" s="91"/>
      <c r="D37" s="91"/>
      <c r="E37" s="91"/>
      <c r="F37" s="91"/>
      <c r="G37" s="91"/>
      <c r="H37" s="91"/>
      <c r="I37" s="92"/>
    </row>
    <row r="38" customFormat="false" ht="14.4" hidden="false" customHeight="false" outlineLevel="0" collapsed="false">
      <c r="D38" s="66" t="n">
        <f aca="false">SUM(D11:D37)</f>
        <v>62</v>
      </c>
      <c r="E38" s="66" t="n">
        <f aca="false">SUM(E11:E37)</f>
        <v>38</v>
      </c>
      <c r="F38" s="66" t="n">
        <f aca="false">SUM(F11:F37)</f>
        <v>36</v>
      </c>
      <c r="I38" s="93"/>
    </row>
    <row r="39" customFormat="false" ht="14.4" hidden="false" customHeight="false" outlineLevel="0" collapsed="false">
      <c r="I39" s="93"/>
    </row>
    <row r="1048574" customFormat="false" ht="12.8" hidden="false" customHeight="false" outlineLevel="0" collapsed="false"/>
    <row r="1048575" customFormat="false" ht="12.8" hidden="false" customHeight="false" outlineLevel="0" collapsed="false"/>
    <row r="1048576" customFormat="false" ht="12.8" hidden="false" customHeight="false" outlineLevel="0" collapsed="false"/>
  </sheetData>
  <autoFilter ref="A3:I34"/>
  <mergeCells count="1">
    <mergeCell ref="A1:H1"/>
  </mergeCells>
  <printOptions headings="false" gridLines="false" gridLinesSet="true" horizontalCentered="false" verticalCentered="false"/>
  <pageMargins left="0.7" right="0.7" top="0.7875" bottom="0.7875" header="0.511811023622047" footer="0.511811023622047"/>
  <pageSetup paperSize="9" scale="100" fitToWidth="1" fitToHeight="0" pageOrder="downThenOver" orientation="landscape" blackAndWhite="false" draft="false" cellComments="none" horizontalDpi="300" verticalDpi="300" copies="1"/>
  <headerFooter differentFirst="false" differentOddEven="false">
    <oddHeader/>
    <oddFooter/>
  </headerFooter>
  <drawing r:id="rId2"/>
  <legacyDrawing r:id="rId3"/>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true"/>
  </sheetPr>
  <dimension ref="A1:K51"/>
  <sheetViews>
    <sheetView showFormulas="false" showGridLines="true" showRowColHeaders="true" showZeros="true" rightToLeft="false" tabSelected="false" showOutlineSymbols="true" defaultGridColor="true" view="normal" topLeftCell="A1" colorId="64" zoomScale="95" zoomScaleNormal="95" zoomScalePageLayoutView="100" workbookViewId="0">
      <selection pane="topLeft" activeCell="E4" activeCellId="0" sqref="E4"/>
    </sheetView>
  </sheetViews>
  <sheetFormatPr defaultColWidth="11.4609375" defaultRowHeight="14.4" zeroHeight="false" outlineLevelRow="0" outlineLevelCol="0"/>
  <cols>
    <col collapsed="false" customWidth="true" hidden="false" outlineLevel="0" max="1" min="1" style="66" width="5.89"/>
    <col collapsed="false" customWidth="true" hidden="false" outlineLevel="0" max="2" min="2" style="1" width="7.67"/>
    <col collapsed="false" customWidth="true" hidden="false" outlineLevel="0" max="3" min="3" style="1" width="13.02"/>
    <col collapsed="false" customWidth="true" hidden="false" outlineLevel="0" max="4" min="4" style="94" width="11.11"/>
    <col collapsed="false" customWidth="true" hidden="false" outlineLevel="0" max="5" min="5" style="1" width="51.44"/>
    <col collapsed="false" customWidth="true" hidden="false" outlineLevel="0" max="6" min="6" style="1" width="8.67"/>
    <col collapsed="false" customWidth="true" hidden="false" outlineLevel="0" max="7" min="7" style="1" width="10.33"/>
    <col collapsed="false" customWidth="true" hidden="false" outlineLevel="0" max="8" min="8" style="1" width="18.89"/>
    <col collapsed="false" customWidth="true" hidden="false" outlineLevel="0" max="9" min="9" style="94" width="12.1"/>
    <col collapsed="false" customWidth="true" hidden="false" outlineLevel="0" max="10" min="10" style="1" width="38.66"/>
    <col collapsed="false" customWidth="true" hidden="false" outlineLevel="0" max="11" min="11" style="1" width="20.11"/>
    <col collapsed="false" customWidth="false" hidden="false" outlineLevel="0" max="1024" min="12" style="1" width="11.45"/>
  </cols>
  <sheetData>
    <row r="1" customFormat="false" ht="21" hidden="false" customHeight="false" outlineLevel="0" collapsed="false">
      <c r="A1" s="95" t="s">
        <v>140</v>
      </c>
      <c r="B1" s="95"/>
      <c r="C1" s="95"/>
      <c r="D1" s="95"/>
      <c r="E1" s="95"/>
      <c r="F1" s="95"/>
      <c r="G1" s="95"/>
      <c r="H1" s="95"/>
      <c r="I1" s="95"/>
      <c r="J1" s="95"/>
      <c r="K1" s="95"/>
    </row>
    <row r="2" customFormat="false" ht="15" hidden="false" customHeight="false" outlineLevel="0" collapsed="false"/>
    <row r="3" customFormat="false" ht="15" hidden="false" customHeight="false" outlineLevel="0" collapsed="false">
      <c r="A3" s="96" t="s">
        <v>40</v>
      </c>
      <c r="B3" s="96" t="s">
        <v>141</v>
      </c>
      <c r="C3" s="96" t="s">
        <v>142</v>
      </c>
      <c r="D3" s="97" t="s">
        <v>143</v>
      </c>
      <c r="E3" s="96" t="s">
        <v>144</v>
      </c>
      <c r="F3" s="96" t="s">
        <v>145</v>
      </c>
      <c r="G3" s="96" t="s">
        <v>146</v>
      </c>
      <c r="H3" s="96" t="s">
        <v>147</v>
      </c>
      <c r="I3" s="97" t="s">
        <v>148</v>
      </c>
      <c r="J3" s="96" t="s">
        <v>149</v>
      </c>
      <c r="K3" s="96" t="s">
        <v>150</v>
      </c>
    </row>
    <row r="4" customFormat="false" ht="14.4" hidden="false" customHeight="false" outlineLevel="0" collapsed="false">
      <c r="A4" s="98" t="n">
        <f aca="false">ROW()-3</f>
        <v>1</v>
      </c>
      <c r="B4" s="99" t="s">
        <v>151</v>
      </c>
      <c r="C4" s="100" t="s">
        <v>7</v>
      </c>
      <c r="D4" s="101" t="n">
        <v>43833</v>
      </c>
      <c r="E4" s="54" t="s">
        <v>152</v>
      </c>
      <c r="F4" s="100" t="s">
        <v>153</v>
      </c>
      <c r="G4" s="100" t="s">
        <v>154</v>
      </c>
      <c r="H4" s="100" t="s">
        <v>7</v>
      </c>
      <c r="I4" s="101" t="n">
        <v>43885</v>
      </c>
      <c r="J4" s="54" t="s">
        <v>155</v>
      </c>
      <c r="K4" s="102"/>
    </row>
    <row r="5" customFormat="false" ht="13.8" hidden="false" customHeight="false" outlineLevel="0" collapsed="false">
      <c r="A5" s="103" t="n">
        <f aca="false">ROW()-3</f>
        <v>2</v>
      </c>
      <c r="B5" s="104" t="s">
        <v>151</v>
      </c>
      <c r="C5" s="105" t="s">
        <v>7</v>
      </c>
      <c r="D5" s="106" t="n">
        <v>43884</v>
      </c>
      <c r="E5" s="31" t="s">
        <v>156</v>
      </c>
      <c r="F5" s="105" t="s">
        <v>157</v>
      </c>
      <c r="G5" s="105" t="s">
        <v>158</v>
      </c>
      <c r="H5" s="105" t="s">
        <v>7</v>
      </c>
      <c r="I5" s="106" t="n">
        <v>43899</v>
      </c>
      <c r="J5" s="31" t="s">
        <v>159</v>
      </c>
      <c r="K5" s="107"/>
    </row>
    <row r="6" customFormat="false" ht="13.8" hidden="false" customHeight="false" outlineLevel="0" collapsed="false">
      <c r="A6" s="103" t="n">
        <f aca="false">ROW()-3</f>
        <v>3</v>
      </c>
      <c r="B6" s="104" t="s">
        <v>160</v>
      </c>
      <c r="C6" s="105" t="s">
        <v>7</v>
      </c>
      <c r="D6" s="106" t="n">
        <v>43893</v>
      </c>
      <c r="E6" s="31" t="s">
        <v>161</v>
      </c>
      <c r="F6" s="105" t="s">
        <v>157</v>
      </c>
      <c r="G6" s="105" t="s">
        <v>158</v>
      </c>
      <c r="H6" s="105" t="s">
        <v>7</v>
      </c>
      <c r="I6" s="106" t="n">
        <v>43941</v>
      </c>
      <c r="J6" s="31" t="s">
        <v>162</v>
      </c>
      <c r="K6" s="107"/>
    </row>
    <row r="7" customFormat="false" ht="14.4" hidden="false" customHeight="false" outlineLevel="0" collapsed="false">
      <c r="A7" s="103" t="n">
        <f aca="false">ROW()-3</f>
        <v>4</v>
      </c>
      <c r="B7" s="104" t="s">
        <v>151</v>
      </c>
      <c r="C7" s="105" t="s">
        <v>7</v>
      </c>
      <c r="D7" s="106" t="n">
        <v>43893</v>
      </c>
      <c r="E7" s="31" t="s">
        <v>163</v>
      </c>
      <c r="F7" s="105" t="s">
        <v>153</v>
      </c>
      <c r="G7" s="105" t="s">
        <v>154</v>
      </c>
      <c r="H7" s="105" t="s">
        <v>7</v>
      </c>
      <c r="I7" s="106" t="n">
        <v>43899</v>
      </c>
      <c r="J7" s="107"/>
      <c r="K7" s="107"/>
    </row>
    <row r="8" customFormat="false" ht="24.05" hidden="false" customHeight="false" outlineLevel="0" collapsed="false">
      <c r="A8" s="103" t="n">
        <f aca="false">ROW()-3</f>
        <v>5</v>
      </c>
      <c r="B8" s="103" t="s">
        <v>160</v>
      </c>
      <c r="C8" s="105" t="s">
        <v>7</v>
      </c>
      <c r="D8" s="106" t="n">
        <v>43920</v>
      </c>
      <c r="E8" s="108" t="s">
        <v>164</v>
      </c>
      <c r="F8" s="105" t="s">
        <v>157</v>
      </c>
      <c r="G8" s="105" t="s">
        <v>154</v>
      </c>
      <c r="H8" s="105" t="s">
        <v>7</v>
      </c>
      <c r="I8" s="106" t="n">
        <v>43941</v>
      </c>
      <c r="J8" s="107" t="s">
        <v>165</v>
      </c>
      <c r="K8" s="107"/>
    </row>
    <row r="9" customFormat="false" ht="13.8" hidden="false" customHeight="false" outlineLevel="0" collapsed="false">
      <c r="A9" s="103" t="n">
        <f aca="false">ROW()-3</f>
        <v>6</v>
      </c>
      <c r="B9" s="103"/>
      <c r="C9" s="105"/>
      <c r="D9" s="106"/>
      <c r="E9" s="108"/>
      <c r="F9" s="105"/>
      <c r="G9" s="105"/>
      <c r="H9" s="105"/>
      <c r="I9" s="106"/>
      <c r="J9" s="107"/>
      <c r="K9" s="107"/>
    </row>
    <row r="10" customFormat="false" ht="14.4" hidden="false" customHeight="false" outlineLevel="0" collapsed="false">
      <c r="A10" s="103" t="n">
        <f aca="false">ROW()-3</f>
        <v>7</v>
      </c>
      <c r="B10" s="103"/>
      <c r="C10" s="105"/>
      <c r="D10" s="106"/>
      <c r="E10" s="108"/>
      <c r="F10" s="105"/>
      <c r="G10" s="105"/>
      <c r="H10" s="105"/>
      <c r="I10" s="106"/>
      <c r="J10" s="107"/>
      <c r="K10" s="105"/>
    </row>
    <row r="11" customFormat="false" ht="14.4" hidden="false" customHeight="false" outlineLevel="0" collapsed="false">
      <c r="A11" s="103" t="n">
        <f aca="false">ROW()-3</f>
        <v>8</v>
      </c>
      <c r="B11" s="103"/>
      <c r="C11" s="105"/>
      <c r="D11" s="106"/>
      <c r="E11" s="108"/>
      <c r="F11" s="105"/>
      <c r="G11" s="105"/>
      <c r="H11" s="105"/>
      <c r="I11" s="106"/>
      <c r="J11" s="107"/>
      <c r="K11" s="105"/>
    </row>
    <row r="12" customFormat="false" ht="14.4" hidden="false" customHeight="false" outlineLevel="0" collapsed="false">
      <c r="A12" s="103" t="n">
        <f aca="false">ROW()-3</f>
        <v>9</v>
      </c>
      <c r="B12" s="104"/>
      <c r="C12" s="105"/>
      <c r="D12" s="106"/>
      <c r="E12" s="31"/>
      <c r="F12" s="105"/>
      <c r="G12" s="105"/>
      <c r="H12" s="105"/>
      <c r="I12" s="106"/>
      <c r="J12" s="31"/>
      <c r="K12" s="105"/>
    </row>
    <row r="13" customFormat="false" ht="14.4" hidden="false" customHeight="false" outlineLevel="0" collapsed="false">
      <c r="A13" s="103" t="n">
        <f aca="false">ROW()-3</f>
        <v>10</v>
      </c>
      <c r="B13" s="103"/>
      <c r="C13" s="105"/>
      <c r="D13" s="106"/>
      <c r="E13" s="108"/>
      <c r="F13" s="105"/>
      <c r="G13" s="105"/>
      <c r="H13" s="105"/>
      <c r="I13" s="106"/>
      <c r="J13" s="107"/>
      <c r="K13" s="105"/>
    </row>
    <row r="14" customFormat="false" ht="14.4" hidden="false" customHeight="false" outlineLevel="0" collapsed="false">
      <c r="A14" s="103" t="n">
        <f aca="false">ROW()-3</f>
        <v>11</v>
      </c>
      <c r="B14" s="103"/>
      <c r="C14" s="105"/>
      <c r="D14" s="106"/>
      <c r="E14" s="108"/>
      <c r="F14" s="105"/>
      <c r="G14" s="105"/>
      <c r="H14" s="105"/>
      <c r="I14" s="106"/>
      <c r="J14" s="107"/>
      <c r="K14" s="107"/>
    </row>
    <row r="15" customFormat="false" ht="14.4" hidden="false" customHeight="false" outlineLevel="0" collapsed="false">
      <c r="A15" s="103" t="n">
        <f aca="false">ROW()-3</f>
        <v>12</v>
      </c>
      <c r="B15" s="103"/>
      <c r="C15" s="105"/>
      <c r="D15" s="106"/>
      <c r="E15" s="108"/>
      <c r="F15" s="105"/>
      <c r="G15" s="105"/>
      <c r="H15" s="105"/>
      <c r="I15" s="106"/>
      <c r="J15" s="107"/>
      <c r="K15" s="105"/>
    </row>
    <row r="16" customFormat="false" ht="14.4" hidden="false" customHeight="false" outlineLevel="0" collapsed="false">
      <c r="A16" s="103" t="n">
        <f aca="false">ROW()-3</f>
        <v>13</v>
      </c>
      <c r="B16" s="103"/>
      <c r="C16" s="105"/>
      <c r="D16" s="106"/>
      <c r="E16" s="108"/>
      <c r="F16" s="105"/>
      <c r="G16" s="105"/>
      <c r="H16" s="105"/>
      <c r="I16" s="106"/>
      <c r="J16" s="107"/>
      <c r="K16" s="105"/>
    </row>
    <row r="17" customFormat="false" ht="14.4" hidden="false" customHeight="false" outlineLevel="0" collapsed="false">
      <c r="A17" s="103" t="n">
        <f aca="false">ROW()-3</f>
        <v>14</v>
      </c>
      <c r="B17" s="103"/>
      <c r="C17" s="105"/>
      <c r="D17" s="106"/>
      <c r="E17" s="108"/>
      <c r="F17" s="105"/>
      <c r="G17" s="105"/>
      <c r="H17" s="105"/>
      <c r="I17" s="106"/>
      <c r="J17" s="107"/>
      <c r="K17" s="105"/>
    </row>
    <row r="18" customFormat="false" ht="14.4" hidden="false" customHeight="false" outlineLevel="0" collapsed="false">
      <c r="A18" s="103" t="n">
        <f aca="false">ROW()-3</f>
        <v>15</v>
      </c>
      <c r="B18" s="103"/>
      <c r="C18" s="105"/>
      <c r="D18" s="106"/>
      <c r="E18" s="107"/>
      <c r="F18" s="105"/>
      <c r="G18" s="105"/>
      <c r="H18" s="105"/>
      <c r="I18" s="106"/>
      <c r="J18" s="105"/>
      <c r="K18" s="105"/>
    </row>
    <row r="19" customFormat="false" ht="14.4" hidden="false" customHeight="false" outlineLevel="0" collapsed="false">
      <c r="A19" s="103" t="n">
        <f aca="false">ROW()-3</f>
        <v>16</v>
      </c>
      <c r="B19" s="103"/>
      <c r="C19" s="105"/>
      <c r="D19" s="106"/>
      <c r="E19" s="108"/>
      <c r="F19" s="105"/>
      <c r="G19" s="105"/>
      <c r="H19" s="105"/>
      <c r="I19" s="106"/>
      <c r="J19" s="107"/>
      <c r="K19" s="105"/>
    </row>
    <row r="20" customFormat="false" ht="14.4" hidden="false" customHeight="false" outlineLevel="0" collapsed="false">
      <c r="A20" s="103" t="n">
        <f aca="false">ROW()-3</f>
        <v>17</v>
      </c>
      <c r="B20" s="103"/>
      <c r="C20" s="105"/>
      <c r="D20" s="106"/>
      <c r="E20" s="108"/>
      <c r="F20" s="105"/>
      <c r="G20" s="105"/>
      <c r="H20" s="105"/>
      <c r="I20" s="106"/>
      <c r="J20" s="107"/>
      <c r="K20" s="105"/>
    </row>
    <row r="21" customFormat="false" ht="14.4" hidden="false" customHeight="false" outlineLevel="0" collapsed="false">
      <c r="A21" s="103" t="n">
        <f aca="false">ROW()-3</f>
        <v>18</v>
      </c>
      <c r="B21" s="103"/>
      <c r="C21" s="105"/>
      <c r="D21" s="106"/>
      <c r="E21" s="108"/>
      <c r="F21" s="105"/>
      <c r="G21" s="105"/>
      <c r="H21" s="105"/>
      <c r="I21" s="106"/>
      <c r="J21" s="107"/>
      <c r="K21" s="105"/>
    </row>
    <row r="22" customFormat="false" ht="14.4" hidden="false" customHeight="false" outlineLevel="0" collapsed="false">
      <c r="A22" s="103" t="n">
        <f aca="false">ROW()-3</f>
        <v>19</v>
      </c>
      <c r="B22" s="103"/>
      <c r="C22" s="105"/>
      <c r="D22" s="106"/>
      <c r="E22" s="108"/>
      <c r="F22" s="105"/>
      <c r="G22" s="105"/>
      <c r="H22" s="105"/>
      <c r="I22" s="106"/>
      <c r="J22" s="107"/>
      <c r="K22" s="105"/>
    </row>
    <row r="23" customFormat="false" ht="18" hidden="false" customHeight="true" outlineLevel="0" collapsed="false">
      <c r="A23" s="103" t="n">
        <f aca="false">ROW()-3</f>
        <v>20</v>
      </c>
      <c r="B23" s="103"/>
      <c r="C23" s="105"/>
      <c r="D23" s="106"/>
      <c r="E23" s="108"/>
      <c r="F23" s="105"/>
      <c r="G23" s="105"/>
      <c r="H23" s="105"/>
      <c r="I23" s="106"/>
      <c r="J23" s="107"/>
      <c r="K23" s="105"/>
    </row>
    <row r="24" customFormat="false" ht="14.4" hidden="false" customHeight="false" outlineLevel="0" collapsed="false">
      <c r="A24" s="103" t="n">
        <f aca="false">ROW()-3</f>
        <v>21</v>
      </c>
      <c r="B24" s="103"/>
      <c r="C24" s="105"/>
      <c r="D24" s="106"/>
      <c r="E24" s="108"/>
      <c r="F24" s="105"/>
      <c r="G24" s="105"/>
      <c r="H24" s="105"/>
      <c r="I24" s="106"/>
      <c r="J24" s="107"/>
      <c r="K24" s="105"/>
    </row>
    <row r="25" customFormat="false" ht="14.4" hidden="false" customHeight="false" outlineLevel="0" collapsed="false">
      <c r="A25" s="103" t="n">
        <f aca="false">ROW()-3</f>
        <v>22</v>
      </c>
      <c r="B25" s="103"/>
      <c r="C25" s="105"/>
      <c r="D25" s="106"/>
      <c r="E25" s="108"/>
      <c r="F25" s="105"/>
      <c r="G25" s="105"/>
      <c r="H25" s="105"/>
      <c r="I25" s="106"/>
      <c r="J25" s="107"/>
      <c r="K25" s="105"/>
    </row>
    <row r="26" customFormat="false" ht="19.5" hidden="false" customHeight="true" outlineLevel="0" collapsed="false">
      <c r="A26" s="103" t="n">
        <f aca="false">ROW()-3</f>
        <v>23</v>
      </c>
      <c r="B26" s="103"/>
      <c r="C26" s="105"/>
      <c r="D26" s="106"/>
      <c r="E26" s="108"/>
      <c r="F26" s="105"/>
      <c r="G26" s="105"/>
      <c r="H26" s="105"/>
      <c r="I26" s="106"/>
      <c r="J26" s="107"/>
      <c r="K26" s="105"/>
    </row>
    <row r="27" customFormat="false" ht="14.4" hidden="false" customHeight="false" outlineLevel="0" collapsed="false">
      <c r="A27" s="103" t="n">
        <f aca="false">ROW()-3</f>
        <v>24</v>
      </c>
      <c r="B27" s="103"/>
      <c r="C27" s="105"/>
      <c r="D27" s="106"/>
      <c r="E27" s="108"/>
      <c r="F27" s="105"/>
      <c r="G27" s="105"/>
      <c r="H27" s="105"/>
      <c r="I27" s="106"/>
      <c r="J27" s="107"/>
      <c r="K27" s="105"/>
    </row>
    <row r="28" customFormat="false" ht="14.4" hidden="false" customHeight="false" outlineLevel="0" collapsed="false">
      <c r="A28" s="103" t="n">
        <f aca="false">ROW()-3</f>
        <v>25</v>
      </c>
      <c r="B28" s="103"/>
      <c r="C28" s="105"/>
      <c r="D28" s="106"/>
      <c r="E28" s="108"/>
      <c r="F28" s="105"/>
      <c r="G28" s="105"/>
      <c r="H28" s="105"/>
      <c r="I28" s="106"/>
      <c r="J28" s="107"/>
      <c r="K28" s="105"/>
    </row>
    <row r="29" customFormat="false" ht="14.4" hidden="false" customHeight="false" outlineLevel="0" collapsed="false">
      <c r="A29" s="103" t="n">
        <f aca="false">ROW()-3</f>
        <v>26</v>
      </c>
      <c r="B29" s="103"/>
      <c r="C29" s="105"/>
      <c r="D29" s="106"/>
      <c r="E29" s="108"/>
      <c r="F29" s="105"/>
      <c r="G29" s="105"/>
      <c r="H29" s="105"/>
      <c r="I29" s="106"/>
      <c r="J29" s="107"/>
      <c r="K29" s="105"/>
    </row>
    <row r="30" customFormat="false" ht="14.4" hidden="false" customHeight="false" outlineLevel="0" collapsed="false">
      <c r="A30" s="103" t="n">
        <f aca="false">ROW()-3</f>
        <v>27</v>
      </c>
      <c r="B30" s="103"/>
      <c r="C30" s="105"/>
      <c r="D30" s="106"/>
      <c r="E30" s="108"/>
      <c r="F30" s="105"/>
      <c r="G30" s="105"/>
      <c r="H30" s="105"/>
      <c r="I30" s="106"/>
      <c r="J30" s="107"/>
      <c r="K30" s="105"/>
    </row>
    <row r="31" customFormat="false" ht="14.4" hidden="false" customHeight="false" outlineLevel="0" collapsed="false">
      <c r="A31" s="103" t="n">
        <f aca="false">ROW()-3</f>
        <v>28</v>
      </c>
      <c r="B31" s="103"/>
      <c r="C31" s="105"/>
      <c r="D31" s="106"/>
      <c r="E31" s="108"/>
      <c r="F31" s="105"/>
      <c r="G31" s="105"/>
      <c r="H31" s="105"/>
      <c r="I31" s="106"/>
      <c r="J31" s="107"/>
      <c r="K31" s="105"/>
    </row>
    <row r="32" customFormat="false" ht="14.4" hidden="false" customHeight="false" outlineLevel="0" collapsed="false">
      <c r="A32" s="103" t="n">
        <f aca="false">ROW()-3</f>
        <v>29</v>
      </c>
      <c r="B32" s="103"/>
      <c r="C32" s="105"/>
      <c r="D32" s="106"/>
      <c r="E32" s="108"/>
      <c r="F32" s="105"/>
      <c r="G32" s="105"/>
      <c r="H32" s="105"/>
      <c r="I32" s="106"/>
      <c r="J32" s="107"/>
      <c r="K32" s="105"/>
    </row>
    <row r="33" customFormat="false" ht="15" hidden="false" customHeight="false" outlineLevel="0" collapsed="false">
      <c r="A33" s="109" t="n">
        <f aca="false">ROW()-3</f>
        <v>30</v>
      </c>
      <c r="B33" s="109"/>
      <c r="C33" s="110"/>
      <c r="D33" s="111"/>
      <c r="E33" s="112"/>
      <c r="F33" s="110"/>
      <c r="G33" s="110"/>
      <c r="H33" s="110"/>
      <c r="I33" s="111"/>
      <c r="J33" s="113"/>
      <c r="K33" s="110"/>
    </row>
    <row r="34" customFormat="false" ht="14.4" hidden="false" customHeight="false" outlineLevel="0" collapsed="false">
      <c r="B34" s="66"/>
      <c r="C34" s="114"/>
      <c r="E34" s="115"/>
      <c r="F34" s="114"/>
      <c r="G34" s="114"/>
      <c r="H34" s="114"/>
      <c r="J34" s="116"/>
      <c r="K34" s="114"/>
    </row>
    <row r="35" customFormat="false" ht="14.4" hidden="false" customHeight="false" outlineLevel="0" collapsed="false">
      <c r="B35" s="66"/>
      <c r="C35" s="114"/>
      <c r="E35" s="115"/>
      <c r="F35" s="114"/>
      <c r="G35" s="114"/>
      <c r="H35" s="114"/>
      <c r="J35" s="116"/>
      <c r="K35" s="114"/>
    </row>
    <row r="36" customFormat="false" ht="14.4" hidden="false" customHeight="false" outlineLevel="0" collapsed="false">
      <c r="B36" s="1" t="s">
        <v>166</v>
      </c>
      <c r="F36" s="1" t="s">
        <v>153</v>
      </c>
      <c r="G36" s="1" t="s">
        <v>167</v>
      </c>
    </row>
    <row r="37" customFormat="false" ht="14.4" hidden="false" customHeight="false" outlineLevel="0" collapsed="false">
      <c r="B37" s="1" t="s">
        <v>168</v>
      </c>
      <c r="F37" s="1" t="s">
        <v>157</v>
      </c>
      <c r="G37" s="1" t="s">
        <v>158</v>
      </c>
    </row>
    <row r="38" customFormat="false" ht="14.4" hidden="false" customHeight="false" outlineLevel="0" collapsed="false">
      <c r="B38" s="1" t="s">
        <v>169</v>
      </c>
      <c r="F38" s="1" t="s">
        <v>170</v>
      </c>
      <c r="G38" s="1" t="s">
        <v>154</v>
      </c>
    </row>
    <row r="39" customFormat="false" ht="14.4" hidden="false" customHeight="false" outlineLevel="0" collapsed="false">
      <c r="G39" s="1" t="s">
        <v>121</v>
      </c>
    </row>
    <row r="45" customFormat="false" ht="14.4" hidden="false" customHeight="false" outlineLevel="0" collapsed="false">
      <c r="E45" s="117"/>
    </row>
    <row r="51" customFormat="false" ht="14.4" hidden="false" customHeight="false" outlineLevel="0" collapsed="false">
      <c r="E51" s="33"/>
    </row>
  </sheetData>
  <mergeCells count="1">
    <mergeCell ref="A1:K1"/>
  </mergeCells>
  <printOptions headings="false" gridLines="false" gridLinesSet="true" horizontalCentered="false" verticalCentered="false"/>
  <pageMargins left="0.7" right="0.7" top="0.7875" bottom="0.7875" header="0.511811023622047" footer="0.511811023622047"/>
  <pageSetup paperSize="9" scale="100" fitToWidth="1" fitToHeight="0" pageOrder="downThenOver" orientation="landscape" blackAndWhite="false" draft="false" cellComments="none" horizontalDpi="300" verticalDpi="300" copies="1"/>
  <headerFooter differentFirst="false" differentOddEven="false">
    <oddHeader/>
    <oddFooter/>
  </headerFooter>
  <legacyDrawing r:id="rId2"/>
  <tableParts>
    <tablePart r:id="rId3"/>
  </tableParts>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true"/>
  </sheetPr>
  <dimension ref="A1:H33"/>
  <sheetViews>
    <sheetView showFormulas="false" showGridLines="true" showRowColHeaders="true" showZeros="true" rightToLeft="false" tabSelected="false" showOutlineSymbols="true" defaultGridColor="true" view="normal" topLeftCell="A1" colorId="64" zoomScale="95" zoomScaleNormal="95" zoomScalePageLayoutView="100" workbookViewId="0">
      <selection pane="topLeft" activeCell="B7" activeCellId="0" sqref="B7"/>
    </sheetView>
  </sheetViews>
  <sheetFormatPr defaultColWidth="11.4609375" defaultRowHeight="14.4" zeroHeight="false" outlineLevelRow="0" outlineLevelCol="0"/>
  <cols>
    <col collapsed="false" customWidth="true" hidden="false" outlineLevel="0" max="1" min="1" style="33" width="3.89"/>
    <col collapsed="false" customWidth="true" hidden="false" outlineLevel="0" max="2" min="2" style="33" width="54.98"/>
    <col collapsed="false" customWidth="true" hidden="false" outlineLevel="0" max="5" min="3" style="49" width="4.89"/>
    <col collapsed="false" customWidth="true" hidden="false" outlineLevel="0" max="6" min="6" style="33" width="8.56"/>
    <col collapsed="false" customWidth="true" hidden="false" outlineLevel="0" max="7" min="7" style="33" width="59.44"/>
    <col collapsed="false" customWidth="true" hidden="false" outlineLevel="0" max="8" min="8" style="33" width="15.88"/>
    <col collapsed="false" customWidth="false" hidden="false" outlineLevel="0" max="1024" min="9" style="33" width="11.45"/>
  </cols>
  <sheetData>
    <row r="1" customFormat="false" ht="23.4" hidden="false" customHeight="true" outlineLevel="0" collapsed="false">
      <c r="A1" s="48" t="s">
        <v>171</v>
      </c>
      <c r="B1" s="48"/>
      <c r="C1" s="48"/>
      <c r="D1" s="48"/>
      <c r="E1" s="48"/>
      <c r="F1" s="48"/>
      <c r="G1" s="48"/>
      <c r="H1" s="48"/>
    </row>
    <row r="2" customFormat="false" ht="15" hidden="false" customHeight="false" outlineLevel="0" collapsed="false">
      <c r="E2" s="60"/>
    </row>
    <row r="3" s="59" customFormat="true" ht="15" hidden="false" customHeight="false" outlineLevel="0" collapsed="false">
      <c r="A3" s="39" t="s">
        <v>40</v>
      </c>
      <c r="B3" s="39" t="s">
        <v>172</v>
      </c>
      <c r="C3" s="39" t="s">
        <v>151</v>
      </c>
      <c r="D3" s="39" t="s">
        <v>173</v>
      </c>
      <c r="E3" s="39" t="s">
        <v>174</v>
      </c>
      <c r="F3" s="39" t="s">
        <v>175</v>
      </c>
      <c r="G3" s="39" t="s">
        <v>176</v>
      </c>
      <c r="H3" s="39" t="s">
        <v>177</v>
      </c>
    </row>
    <row r="4" customFormat="false" ht="28.8" hidden="false" customHeight="false" outlineLevel="0" collapsed="false">
      <c r="A4" s="31" t="n">
        <v>1</v>
      </c>
      <c r="B4" s="31" t="s">
        <v>178</v>
      </c>
      <c r="C4" s="57" t="n">
        <v>4</v>
      </c>
      <c r="D4" s="57" t="n">
        <v>4</v>
      </c>
      <c r="E4" s="118" t="n">
        <f aca="false">C4*D4</f>
        <v>16</v>
      </c>
      <c r="F4" s="31"/>
      <c r="G4" s="31" t="s">
        <v>179</v>
      </c>
      <c r="H4" s="31"/>
    </row>
    <row r="5" customFormat="false" ht="28.8" hidden="false" customHeight="false" outlineLevel="0" collapsed="false">
      <c r="A5" s="31" t="n">
        <v>2</v>
      </c>
      <c r="B5" s="31" t="s">
        <v>180</v>
      </c>
      <c r="C5" s="57" t="n">
        <v>1</v>
      </c>
      <c r="D5" s="57" t="n">
        <v>5</v>
      </c>
      <c r="E5" s="118" t="n">
        <f aca="false">C5*D5</f>
        <v>5</v>
      </c>
      <c r="F5" s="31"/>
      <c r="G5" s="31"/>
      <c r="H5" s="31"/>
    </row>
    <row r="6" customFormat="false" ht="14.4" hidden="false" customHeight="false" outlineLevel="0" collapsed="false">
      <c r="A6" s="31" t="n">
        <v>3</v>
      </c>
      <c r="B6" s="31" t="s">
        <v>181</v>
      </c>
      <c r="C6" s="57"/>
      <c r="D6" s="57"/>
      <c r="E6" s="118" t="n">
        <f aca="false">C6*D6</f>
        <v>0</v>
      </c>
      <c r="F6" s="31"/>
      <c r="G6" s="31"/>
      <c r="H6" s="31"/>
    </row>
    <row r="7" customFormat="false" ht="14.4" hidden="false" customHeight="false" outlineLevel="0" collapsed="false">
      <c r="A7" s="31" t="n">
        <v>4</v>
      </c>
      <c r="B7" s="31" t="s">
        <v>182</v>
      </c>
      <c r="C7" s="57"/>
      <c r="D7" s="57"/>
      <c r="E7" s="118" t="n">
        <f aca="false">C7*D7</f>
        <v>0</v>
      </c>
      <c r="F7" s="31"/>
      <c r="G7" s="31"/>
      <c r="H7" s="31"/>
    </row>
    <row r="8" customFormat="false" ht="14.4" hidden="false" customHeight="false" outlineLevel="0" collapsed="false">
      <c r="A8" s="31" t="n">
        <v>5</v>
      </c>
      <c r="B8" s="31"/>
      <c r="C8" s="57"/>
      <c r="D8" s="57"/>
      <c r="E8" s="118" t="n">
        <f aca="false">C8*D8</f>
        <v>0</v>
      </c>
      <c r="F8" s="31"/>
      <c r="G8" s="31"/>
      <c r="H8" s="31"/>
    </row>
    <row r="9" customFormat="false" ht="14.4" hidden="false" customHeight="false" outlineLevel="0" collapsed="false">
      <c r="A9" s="31" t="n">
        <v>6</v>
      </c>
      <c r="B9" s="31"/>
      <c r="C9" s="57"/>
      <c r="D9" s="57"/>
      <c r="E9" s="118" t="n">
        <f aca="false">C9*D9</f>
        <v>0</v>
      </c>
      <c r="F9" s="31"/>
      <c r="G9" s="31"/>
      <c r="H9" s="31"/>
    </row>
    <row r="10" customFormat="false" ht="14.4" hidden="false" customHeight="false" outlineLevel="0" collapsed="false">
      <c r="A10" s="31" t="n">
        <v>7</v>
      </c>
      <c r="B10" s="31"/>
      <c r="C10" s="57"/>
      <c r="D10" s="57"/>
      <c r="E10" s="118" t="n">
        <f aca="false">C10*D10</f>
        <v>0</v>
      </c>
      <c r="F10" s="31"/>
      <c r="G10" s="31"/>
      <c r="H10" s="31"/>
    </row>
    <row r="11" customFormat="false" ht="14.4" hidden="false" customHeight="false" outlineLevel="0" collapsed="false">
      <c r="A11" s="31" t="n">
        <v>8</v>
      </c>
      <c r="B11" s="31"/>
      <c r="C11" s="57"/>
      <c r="D11" s="57"/>
      <c r="E11" s="118" t="n">
        <f aca="false">C11*D11</f>
        <v>0</v>
      </c>
      <c r="F11" s="31"/>
      <c r="G11" s="31"/>
      <c r="H11" s="31"/>
    </row>
    <row r="12" customFormat="false" ht="14.4" hidden="false" customHeight="false" outlineLevel="0" collapsed="false">
      <c r="A12" s="31" t="n">
        <v>9</v>
      </c>
      <c r="B12" s="31"/>
      <c r="C12" s="57"/>
      <c r="D12" s="57"/>
      <c r="E12" s="118" t="n">
        <f aca="false">C12*D12</f>
        <v>0</v>
      </c>
      <c r="F12" s="31"/>
      <c r="G12" s="31"/>
      <c r="H12" s="31"/>
    </row>
    <row r="13" customFormat="false" ht="14.4" hidden="false" customHeight="false" outlineLevel="0" collapsed="false">
      <c r="A13" s="31" t="n">
        <v>10</v>
      </c>
      <c r="B13" s="31"/>
      <c r="C13" s="57"/>
      <c r="D13" s="57"/>
      <c r="E13" s="118" t="n">
        <f aca="false">C13*D13</f>
        <v>0</v>
      </c>
      <c r="F13" s="31"/>
      <c r="G13" s="31"/>
      <c r="H13" s="31"/>
    </row>
    <row r="14" customFormat="false" ht="14.4" hidden="false" customHeight="false" outlineLevel="0" collapsed="false">
      <c r="A14" s="31" t="n">
        <v>11</v>
      </c>
      <c r="B14" s="31"/>
      <c r="C14" s="57"/>
      <c r="D14" s="57"/>
      <c r="E14" s="118" t="n">
        <f aca="false">C14*D14</f>
        <v>0</v>
      </c>
      <c r="F14" s="31"/>
      <c r="G14" s="31"/>
      <c r="H14" s="31"/>
    </row>
    <row r="15" customFormat="false" ht="14.4" hidden="false" customHeight="false" outlineLevel="0" collapsed="false">
      <c r="A15" s="31" t="n">
        <v>12</v>
      </c>
      <c r="B15" s="31"/>
      <c r="C15" s="57"/>
      <c r="D15" s="57"/>
      <c r="E15" s="118" t="n">
        <f aca="false">C15*D15</f>
        <v>0</v>
      </c>
      <c r="F15" s="31"/>
      <c r="G15" s="31"/>
      <c r="H15" s="31"/>
    </row>
    <row r="16" customFormat="false" ht="14.4" hidden="false" customHeight="false" outlineLevel="0" collapsed="false">
      <c r="A16" s="31" t="n">
        <v>13</v>
      </c>
      <c r="B16" s="31"/>
      <c r="C16" s="57"/>
      <c r="D16" s="57"/>
      <c r="E16" s="118" t="n">
        <f aca="false">C16*D16</f>
        <v>0</v>
      </c>
      <c r="F16" s="31"/>
      <c r="G16" s="31"/>
      <c r="H16" s="31"/>
    </row>
    <row r="17" customFormat="false" ht="14.4" hidden="false" customHeight="false" outlineLevel="0" collapsed="false">
      <c r="A17" s="31" t="n">
        <v>14</v>
      </c>
      <c r="B17" s="31"/>
      <c r="C17" s="57"/>
      <c r="D17" s="57"/>
      <c r="E17" s="118" t="n">
        <f aca="false">C17*D17</f>
        <v>0</v>
      </c>
      <c r="F17" s="31"/>
      <c r="G17" s="31"/>
      <c r="H17" s="31"/>
    </row>
    <row r="18" customFormat="false" ht="14.4" hidden="false" customHeight="false" outlineLevel="0" collapsed="false">
      <c r="A18" s="31" t="n">
        <v>15</v>
      </c>
      <c r="B18" s="31"/>
      <c r="C18" s="57"/>
      <c r="D18" s="57"/>
      <c r="E18" s="118" t="n">
        <f aca="false">C18*D18</f>
        <v>0</v>
      </c>
      <c r="F18" s="31"/>
      <c r="G18" s="31"/>
      <c r="H18" s="31"/>
    </row>
    <row r="19" customFormat="false" ht="14.4" hidden="false" customHeight="false" outlineLevel="0" collapsed="false">
      <c r="A19" s="31" t="n">
        <v>16</v>
      </c>
      <c r="B19" s="31"/>
      <c r="C19" s="57"/>
      <c r="D19" s="57"/>
      <c r="E19" s="118" t="n">
        <f aca="false">C19*D19</f>
        <v>0</v>
      </c>
      <c r="F19" s="31"/>
      <c r="G19" s="31"/>
      <c r="H19" s="31"/>
    </row>
    <row r="20" customFormat="false" ht="14.4" hidden="false" customHeight="false" outlineLevel="0" collapsed="false">
      <c r="A20" s="31" t="n">
        <v>17</v>
      </c>
      <c r="B20" s="31"/>
      <c r="C20" s="57"/>
      <c r="D20" s="57"/>
      <c r="E20" s="118" t="n">
        <f aca="false">C20*D20</f>
        <v>0</v>
      </c>
      <c r="F20" s="31"/>
      <c r="G20" s="31"/>
      <c r="H20" s="31"/>
    </row>
    <row r="21" customFormat="false" ht="14.4" hidden="false" customHeight="false" outlineLevel="0" collapsed="false">
      <c r="A21" s="31" t="n">
        <v>18</v>
      </c>
      <c r="B21" s="31"/>
      <c r="C21" s="57"/>
      <c r="D21" s="57"/>
      <c r="E21" s="118" t="n">
        <f aca="false">C21*D21</f>
        <v>0</v>
      </c>
      <c r="F21" s="31"/>
      <c r="G21" s="31"/>
      <c r="H21" s="31"/>
    </row>
    <row r="22" customFormat="false" ht="14.4" hidden="false" customHeight="false" outlineLevel="0" collapsed="false">
      <c r="A22" s="31" t="n">
        <v>19</v>
      </c>
      <c r="B22" s="31"/>
      <c r="C22" s="57"/>
      <c r="D22" s="57"/>
      <c r="E22" s="118" t="n">
        <f aca="false">C22*D22</f>
        <v>0</v>
      </c>
      <c r="F22" s="31"/>
      <c r="G22" s="31"/>
      <c r="H22" s="31"/>
    </row>
    <row r="23" customFormat="false" ht="14.4" hidden="false" customHeight="false" outlineLevel="0" collapsed="false">
      <c r="A23" s="31" t="n">
        <v>20</v>
      </c>
      <c r="B23" s="31"/>
      <c r="C23" s="57"/>
      <c r="D23" s="57"/>
      <c r="E23" s="118" t="n">
        <f aca="false">C23*D23</f>
        <v>0</v>
      </c>
      <c r="F23" s="31"/>
      <c r="G23" s="31"/>
      <c r="H23" s="31"/>
    </row>
    <row r="24" customFormat="false" ht="14.4" hidden="false" customHeight="false" outlineLevel="0" collapsed="false">
      <c r="A24" s="31" t="n">
        <v>21</v>
      </c>
      <c r="B24" s="31"/>
      <c r="C24" s="57"/>
      <c r="D24" s="57"/>
      <c r="E24" s="118" t="n">
        <f aca="false">C24*D24</f>
        <v>0</v>
      </c>
      <c r="F24" s="31"/>
      <c r="G24" s="31"/>
      <c r="H24" s="31"/>
    </row>
    <row r="25" customFormat="false" ht="14.4" hidden="false" customHeight="false" outlineLevel="0" collapsed="false">
      <c r="A25" s="31" t="n">
        <v>22</v>
      </c>
      <c r="B25" s="31"/>
      <c r="C25" s="57"/>
      <c r="D25" s="57"/>
      <c r="E25" s="118" t="n">
        <f aca="false">C25*D25</f>
        <v>0</v>
      </c>
      <c r="F25" s="31"/>
      <c r="G25" s="31"/>
      <c r="H25" s="31"/>
    </row>
    <row r="26" customFormat="false" ht="14.4" hidden="false" customHeight="false" outlineLevel="0" collapsed="false">
      <c r="A26" s="31" t="n">
        <v>23</v>
      </c>
      <c r="B26" s="31"/>
      <c r="C26" s="57"/>
      <c r="D26" s="57"/>
      <c r="E26" s="118" t="n">
        <f aca="false">C26*D26</f>
        <v>0</v>
      </c>
      <c r="F26" s="31"/>
      <c r="G26" s="31"/>
      <c r="H26" s="31"/>
    </row>
    <row r="27" customFormat="false" ht="14.4" hidden="false" customHeight="false" outlineLevel="0" collapsed="false">
      <c r="A27" s="31" t="n">
        <v>24</v>
      </c>
      <c r="B27" s="31"/>
      <c r="C27" s="57"/>
      <c r="D27" s="57"/>
      <c r="E27" s="118" t="n">
        <f aca="false">C27*D27</f>
        <v>0</v>
      </c>
      <c r="F27" s="31"/>
      <c r="G27" s="31"/>
      <c r="H27" s="31"/>
    </row>
    <row r="28" customFormat="false" ht="14.4" hidden="false" customHeight="false" outlineLevel="0" collapsed="false">
      <c r="A28" s="31" t="n">
        <v>25</v>
      </c>
      <c r="B28" s="31"/>
      <c r="C28" s="57"/>
      <c r="D28" s="57"/>
      <c r="E28" s="118" t="n">
        <f aca="false">C28*D28</f>
        <v>0</v>
      </c>
      <c r="F28" s="31"/>
      <c r="G28" s="31"/>
      <c r="H28" s="31"/>
    </row>
    <row r="29" customFormat="false" ht="14.4" hidden="false" customHeight="false" outlineLevel="0" collapsed="false">
      <c r="A29" s="31" t="n">
        <v>26</v>
      </c>
      <c r="B29" s="31"/>
      <c r="C29" s="57"/>
      <c r="D29" s="57"/>
      <c r="E29" s="118" t="n">
        <f aca="false">C29*D29</f>
        <v>0</v>
      </c>
      <c r="F29" s="31"/>
      <c r="G29" s="31"/>
      <c r="H29" s="31"/>
    </row>
    <row r="30" customFormat="false" ht="14.4" hidden="false" customHeight="false" outlineLevel="0" collapsed="false">
      <c r="A30" s="31" t="n">
        <v>27</v>
      </c>
      <c r="B30" s="31"/>
      <c r="C30" s="57"/>
      <c r="D30" s="57"/>
      <c r="E30" s="118" t="n">
        <f aca="false">C30*D30</f>
        <v>0</v>
      </c>
      <c r="F30" s="31"/>
      <c r="G30" s="31"/>
      <c r="H30" s="31"/>
    </row>
    <row r="31" customFormat="false" ht="14.4" hidden="false" customHeight="false" outlineLevel="0" collapsed="false">
      <c r="A31" s="31" t="n">
        <v>28</v>
      </c>
      <c r="B31" s="31"/>
      <c r="C31" s="57"/>
      <c r="D31" s="57"/>
      <c r="E31" s="118" t="n">
        <f aca="false">C31*D31</f>
        <v>0</v>
      </c>
      <c r="F31" s="31"/>
      <c r="G31" s="31"/>
      <c r="H31" s="31"/>
    </row>
    <row r="32" customFormat="false" ht="14.4" hidden="false" customHeight="false" outlineLevel="0" collapsed="false">
      <c r="A32" s="31" t="n">
        <v>29</v>
      </c>
      <c r="B32" s="31"/>
      <c r="C32" s="57"/>
      <c r="D32" s="57"/>
      <c r="E32" s="118" t="n">
        <f aca="false">C32*D32</f>
        <v>0</v>
      </c>
      <c r="F32" s="31"/>
      <c r="G32" s="31"/>
      <c r="H32" s="31"/>
    </row>
    <row r="33" customFormat="false" ht="15" hidden="false" customHeight="false" outlineLevel="0" collapsed="false">
      <c r="A33" s="36" t="n">
        <v>30</v>
      </c>
      <c r="B33" s="36"/>
      <c r="C33" s="58"/>
      <c r="D33" s="58"/>
      <c r="E33" s="119" t="n">
        <f aca="false">C33*D33</f>
        <v>0</v>
      </c>
      <c r="F33" s="36"/>
      <c r="G33" s="36"/>
      <c r="H33" s="36"/>
    </row>
  </sheetData>
  <mergeCells count="1">
    <mergeCell ref="A1:H1"/>
  </mergeCells>
  <conditionalFormatting sqref="E4:E33">
    <cfRule type="colorScale" priority="2">
      <colorScale>
        <cfvo type="min" val="0"/>
        <cfvo type="percentile" val="50"/>
        <cfvo type="max" val="0"/>
        <color rgb="FF63BE7B"/>
        <color rgb="FFFFEB84"/>
        <color rgb="FFF8696B"/>
      </colorScale>
    </cfRule>
  </conditionalFormatting>
  <printOptions headings="false" gridLines="false" gridLinesSet="true" horizontalCentered="false" verticalCentered="false"/>
  <pageMargins left="0.7" right="0.7" top="0.7875" bottom="0.7875" header="0.511811023622047" footer="0.511811023622047"/>
  <pageSetup paperSize="9" scale="100" fitToWidth="1" fitToHeight="0" pageOrder="downThenOver" orientation="landscape" blackAndWhite="false" draft="false" cellComments="none" horizontalDpi="300" verticalDpi="300" copies="1"/>
  <headerFooter differentFirst="false" differentOddEven="false">
    <oddHeader/>
    <oddFooter/>
  </headerFooter>
  <legacyDrawing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N29"/>
  <sheetViews>
    <sheetView showFormulas="false" showGridLines="true" showRowColHeaders="true" showZeros="true" rightToLeft="false" tabSelected="false" showOutlineSymbols="true" defaultGridColor="true" view="normal" topLeftCell="A1" colorId="64" zoomScale="95" zoomScaleNormal="95" zoomScalePageLayoutView="100" workbookViewId="0">
      <selection pane="topLeft" activeCell="F28" activeCellId="0" sqref="F28"/>
    </sheetView>
  </sheetViews>
  <sheetFormatPr defaultColWidth="10.578125" defaultRowHeight="14.4" zeroHeight="false" outlineLevelRow="0" outlineLevelCol="0"/>
  <cols>
    <col collapsed="false" customWidth="true" hidden="false" outlineLevel="0" max="1" min="1" style="0" width="31.88"/>
    <col collapsed="false" customWidth="true" hidden="false" outlineLevel="0" max="4" min="2" style="0" width="25.11"/>
    <col collapsed="false" customWidth="true" hidden="false" outlineLevel="0" max="14" min="14" style="0" width="40.56"/>
  </cols>
  <sheetData>
    <row r="1" customFormat="false" ht="23.4" hidden="false" customHeight="false" outlineLevel="0" collapsed="false">
      <c r="A1" s="120" t="s">
        <v>183</v>
      </c>
    </row>
    <row r="2" customFormat="false" ht="14.4" hidden="false" customHeight="false" outlineLevel="0" collapsed="false">
      <c r="A2" s="0" t="s">
        <v>184</v>
      </c>
    </row>
    <row r="3" customFormat="false" ht="14.4" hidden="false" customHeight="false" outlineLevel="0" collapsed="false">
      <c r="F3" s="0" t="s">
        <v>185</v>
      </c>
    </row>
    <row r="4" customFormat="false" ht="14.4" hidden="false" customHeight="false" outlineLevel="0" collapsed="false">
      <c r="A4" s="121" t="s">
        <v>186</v>
      </c>
      <c r="B4" s="122" t="s">
        <v>187</v>
      </c>
      <c r="C4" s="122" t="s">
        <v>188</v>
      </c>
      <c r="D4" s="122" t="s">
        <v>189</v>
      </c>
    </row>
    <row r="5" customFormat="false" ht="14.4" hidden="false" customHeight="false" outlineLevel="0" collapsed="false">
      <c r="A5" s="123" t="s">
        <v>190</v>
      </c>
      <c r="B5" s="124" t="s">
        <v>191</v>
      </c>
      <c r="C5" s="124" t="s">
        <v>192</v>
      </c>
      <c r="D5" s="124" t="s">
        <v>193</v>
      </c>
    </row>
    <row r="6" customFormat="false" ht="14.4" hidden="false" customHeight="false" outlineLevel="0" collapsed="false">
      <c r="A6" s="123" t="s">
        <v>194</v>
      </c>
      <c r="B6" s="124" t="s">
        <v>195</v>
      </c>
      <c r="C6" s="124" t="s">
        <v>196</v>
      </c>
      <c r="D6" s="124" t="s">
        <v>193</v>
      </c>
      <c r="K6" s="125" t="s">
        <v>197</v>
      </c>
    </row>
    <row r="7" customFormat="false" ht="14.4" hidden="false" customHeight="false" outlineLevel="0" collapsed="false">
      <c r="A7" s="123" t="s">
        <v>198</v>
      </c>
      <c r="B7" s="124" t="s">
        <v>199</v>
      </c>
      <c r="C7" s="124" t="s">
        <v>196</v>
      </c>
      <c r="D7" s="124" t="s">
        <v>200</v>
      </c>
      <c r="K7" s="121" t="s">
        <v>201</v>
      </c>
      <c r="L7" s="121" t="s">
        <v>202</v>
      </c>
      <c r="M7" s="121" t="s">
        <v>203</v>
      </c>
      <c r="N7" s="121" t="s">
        <v>204</v>
      </c>
    </row>
    <row r="8" customFormat="false" ht="14.4" hidden="false" customHeight="false" outlineLevel="0" collapsed="false">
      <c r="A8" s="123" t="s">
        <v>205</v>
      </c>
      <c r="B8" s="124" t="s">
        <v>206</v>
      </c>
      <c r="C8" s="124" t="s">
        <v>193</v>
      </c>
      <c r="D8" s="124" t="s">
        <v>207</v>
      </c>
      <c r="K8" s="123" t="s">
        <v>199</v>
      </c>
      <c r="L8" s="123" t="s">
        <v>193</v>
      </c>
      <c r="M8" s="123" t="s">
        <v>193</v>
      </c>
      <c r="N8" s="123" t="s">
        <v>208</v>
      </c>
    </row>
    <row r="9" customFormat="false" ht="14.4" hidden="false" customHeight="false" outlineLevel="0" collapsed="false">
      <c r="A9" s="123" t="s">
        <v>209</v>
      </c>
      <c r="B9" s="124"/>
      <c r="C9" s="124"/>
      <c r="D9" s="124"/>
      <c r="K9" s="123" t="s">
        <v>199</v>
      </c>
      <c r="L9" s="123" t="s">
        <v>193</v>
      </c>
      <c r="M9" s="123" t="s">
        <v>200</v>
      </c>
      <c r="N9" s="123" t="s">
        <v>210</v>
      </c>
    </row>
    <row r="10" customFormat="false" ht="14.4" hidden="false" customHeight="false" outlineLevel="0" collapsed="false">
      <c r="A10" s="123"/>
      <c r="B10" s="124"/>
      <c r="C10" s="124"/>
      <c r="D10" s="124"/>
      <c r="K10" s="123" t="s">
        <v>206</v>
      </c>
      <c r="L10" s="123" t="s">
        <v>193</v>
      </c>
      <c r="M10" s="123" t="s">
        <v>193</v>
      </c>
      <c r="N10" s="123" t="s">
        <v>211</v>
      </c>
    </row>
    <row r="11" customFormat="false" ht="14.4" hidden="false" customHeight="false" outlineLevel="0" collapsed="false">
      <c r="A11" s="123"/>
      <c r="B11" s="124"/>
      <c r="C11" s="124"/>
      <c r="D11" s="124"/>
      <c r="K11" s="123" t="s">
        <v>206</v>
      </c>
      <c r="L11" s="123" t="s">
        <v>193</v>
      </c>
      <c r="M11" s="123" t="s">
        <v>200</v>
      </c>
      <c r="N11" s="123" t="s">
        <v>212</v>
      </c>
    </row>
    <row r="12" customFormat="false" ht="14.4" hidden="false" customHeight="false" outlineLevel="0" collapsed="false">
      <c r="A12" s="123"/>
      <c r="B12" s="124"/>
      <c r="C12" s="124"/>
      <c r="D12" s="124"/>
      <c r="K12" s="123" t="s">
        <v>199</v>
      </c>
      <c r="L12" s="123" t="s">
        <v>200</v>
      </c>
      <c r="M12" s="123" t="s">
        <v>53</v>
      </c>
      <c r="N12" s="123" t="s">
        <v>213</v>
      </c>
    </row>
    <row r="13" customFormat="false" ht="14.4" hidden="false" customHeight="false" outlineLevel="0" collapsed="false">
      <c r="A13" s="123"/>
      <c r="B13" s="124"/>
      <c r="C13" s="124"/>
      <c r="D13" s="124"/>
    </row>
    <row r="14" customFormat="false" ht="14.4" hidden="false" customHeight="false" outlineLevel="0" collapsed="false">
      <c r="A14" s="123"/>
      <c r="B14" s="124"/>
      <c r="C14" s="124"/>
      <c r="D14" s="124"/>
    </row>
    <row r="15" customFormat="false" ht="14.4" hidden="false" customHeight="false" outlineLevel="0" collapsed="false">
      <c r="A15" s="123"/>
      <c r="B15" s="124"/>
      <c r="C15" s="124"/>
      <c r="D15" s="124"/>
    </row>
    <row r="16" customFormat="false" ht="14.4" hidden="false" customHeight="false" outlineLevel="0" collapsed="false">
      <c r="A16" s="123"/>
      <c r="B16" s="124"/>
      <c r="C16" s="124"/>
      <c r="D16" s="124"/>
    </row>
    <row r="17" customFormat="false" ht="14.4" hidden="false" customHeight="false" outlineLevel="0" collapsed="false">
      <c r="A17" s="123"/>
      <c r="B17" s="124"/>
      <c r="C17" s="124"/>
      <c r="D17" s="124"/>
    </row>
    <row r="18" customFormat="false" ht="14.4" hidden="false" customHeight="false" outlineLevel="0" collapsed="false">
      <c r="A18" s="123"/>
      <c r="B18" s="124"/>
      <c r="C18" s="124"/>
      <c r="D18" s="124"/>
    </row>
    <row r="19" customFormat="false" ht="14.4" hidden="false" customHeight="false" outlineLevel="0" collapsed="false">
      <c r="A19" s="123"/>
      <c r="B19" s="124"/>
      <c r="C19" s="124"/>
      <c r="D19" s="124"/>
    </row>
    <row r="21" customFormat="false" ht="14.4" hidden="false" customHeight="false" outlineLevel="0" collapsed="false">
      <c r="A21" s="121" t="s">
        <v>186</v>
      </c>
      <c r="B21" s="126" t="s">
        <v>214</v>
      </c>
      <c r="C21" s="126"/>
      <c r="D21" s="126"/>
    </row>
    <row r="22" customFormat="false" ht="14.4" hidden="false" customHeight="true" outlineLevel="0" collapsed="false">
      <c r="A22" s="127" t="s">
        <v>205</v>
      </c>
      <c r="B22" s="128" t="s">
        <v>215</v>
      </c>
      <c r="C22" s="128"/>
      <c r="D22" s="128"/>
    </row>
    <row r="23" customFormat="false" ht="30" hidden="false" customHeight="true" outlineLevel="0" collapsed="false">
      <c r="A23" s="127" t="s">
        <v>216</v>
      </c>
      <c r="B23" s="128" t="s">
        <v>217</v>
      </c>
      <c r="C23" s="128"/>
      <c r="D23" s="128"/>
    </row>
    <row r="24" customFormat="false" ht="14.4" hidden="false" customHeight="true" outlineLevel="0" collapsed="false">
      <c r="A24" s="127" t="s">
        <v>218</v>
      </c>
      <c r="B24" s="128" t="s">
        <v>219</v>
      </c>
      <c r="C24" s="128"/>
      <c r="D24" s="128"/>
    </row>
    <row r="25" customFormat="false" ht="14.4" hidden="false" customHeight="false" outlineLevel="0" collapsed="false">
      <c r="A25" s="123"/>
      <c r="B25" s="129"/>
      <c r="C25" s="129"/>
      <c r="D25" s="129"/>
    </row>
    <row r="26" customFormat="false" ht="14.4" hidden="false" customHeight="false" outlineLevel="0" collapsed="false">
      <c r="A26" s="123"/>
      <c r="B26" s="129"/>
      <c r="C26" s="129"/>
      <c r="D26" s="129"/>
    </row>
    <row r="27" customFormat="false" ht="14.4" hidden="false" customHeight="false" outlineLevel="0" collapsed="false">
      <c r="A27" s="123"/>
      <c r="B27" s="129"/>
      <c r="C27" s="129"/>
      <c r="D27" s="129"/>
    </row>
    <row r="28" customFormat="false" ht="14.4" hidden="false" customHeight="false" outlineLevel="0" collapsed="false">
      <c r="A28" s="123"/>
      <c r="B28" s="129"/>
      <c r="C28" s="129"/>
      <c r="D28" s="129"/>
    </row>
    <row r="29" customFormat="false" ht="14.4" hidden="false" customHeight="false" outlineLevel="0" collapsed="false">
      <c r="A29" s="123"/>
      <c r="B29" s="129"/>
      <c r="C29" s="129"/>
      <c r="D29" s="129"/>
    </row>
  </sheetData>
  <mergeCells count="9">
    <mergeCell ref="B21:D21"/>
    <mergeCell ref="B22:D22"/>
    <mergeCell ref="B23:D23"/>
    <mergeCell ref="B24:D24"/>
    <mergeCell ref="B25:D25"/>
    <mergeCell ref="B26:D26"/>
    <mergeCell ref="B27:D27"/>
    <mergeCell ref="B28:D28"/>
    <mergeCell ref="B29:D29"/>
  </mergeCells>
  <dataValidations count="2">
    <dataValidation allowBlank="true" errorStyle="stop" operator="between" showDropDown="false" showErrorMessage="true" showInputMessage="true" sqref="B5:B19" type="list">
      <formula1>"sehr positiv,positiv,eher positiv,neutral,eher negativ,negativ,sehr negativ"</formula1>
      <formula2>0</formula2>
    </dataValidation>
    <dataValidation allowBlank="true" errorStyle="stop" operator="between" showDropDown="false" showErrorMessage="true" showInputMessage="true" sqref="C5:D19" type="list">
      <formula1>"sehr hoch,hoch,eher hoch,neutral,eher niedrig,niedrig,sehr niedrig"</formula1>
      <formula2>0</formula2>
    </dataValidation>
  </dataValidations>
  <printOptions headings="false" gridLines="false" gridLinesSet="true" horizontalCentered="false" verticalCentered="false"/>
  <pageMargins left="0.7" right="0.7" top="0.7875" bottom="0.78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true"/>
  </sheetPr>
  <dimension ref="A1:C33"/>
  <sheetViews>
    <sheetView showFormulas="false" showGridLines="true" showRowColHeaders="true" showZeros="true" rightToLeft="false" tabSelected="true" showOutlineSymbols="true" defaultGridColor="true" view="normal" topLeftCell="A1" colorId="64" zoomScale="95" zoomScaleNormal="95" zoomScalePageLayoutView="100" workbookViewId="0">
      <selection pane="topLeft" activeCell="C4" activeCellId="0" sqref="C4"/>
    </sheetView>
  </sheetViews>
  <sheetFormatPr defaultColWidth="11.4609375" defaultRowHeight="14.4" zeroHeight="false" outlineLevelRow="0" outlineLevelCol="0"/>
  <cols>
    <col collapsed="false" customWidth="false" hidden="false" outlineLevel="0" max="1" min="1" style="49" width="11.45"/>
    <col collapsed="false" customWidth="true" hidden="false" outlineLevel="0" max="2" min="2" style="49" width="8.11"/>
    <col collapsed="false" customWidth="true" hidden="false" outlineLevel="0" max="3" min="3" style="33" width="61.58"/>
    <col collapsed="false" customWidth="false" hidden="false" outlineLevel="0" max="1024" min="4" style="33" width="11.45"/>
  </cols>
  <sheetData>
    <row r="1" customFormat="false" ht="23.4" hidden="false" customHeight="true" outlineLevel="0" collapsed="false">
      <c r="A1" s="48" t="s">
        <v>220</v>
      </c>
      <c r="B1" s="48"/>
      <c r="C1" s="48"/>
    </row>
    <row r="2" customFormat="false" ht="15" hidden="false" customHeight="false" outlineLevel="0" collapsed="false"/>
    <row r="3" customFormat="false" ht="27" hidden="false" customHeight="false" outlineLevel="0" collapsed="false">
      <c r="A3" s="39" t="s">
        <v>221</v>
      </c>
      <c r="B3" s="39" t="s">
        <v>222</v>
      </c>
      <c r="C3" s="39" t="s">
        <v>223</v>
      </c>
    </row>
    <row r="4" customFormat="false" ht="14.4" hidden="false" customHeight="false" outlineLevel="0" collapsed="false">
      <c r="A4" s="53" t="s">
        <v>182</v>
      </c>
      <c r="B4" s="130" t="s">
        <v>182</v>
      </c>
      <c r="C4" s="52" t="s">
        <v>224</v>
      </c>
    </row>
    <row r="5" customFormat="false" ht="24.05" hidden="false" customHeight="false" outlineLevel="0" collapsed="false">
      <c r="A5" s="131" t="n">
        <v>44634</v>
      </c>
      <c r="B5" s="57" t="n">
        <v>4</v>
      </c>
      <c r="C5" s="31" t="s">
        <v>225</v>
      </c>
    </row>
    <row r="6" customFormat="false" ht="14.4" hidden="false" customHeight="false" outlineLevel="0" collapsed="false">
      <c r="A6" s="57"/>
      <c r="B6" s="57"/>
      <c r="C6" s="31"/>
    </row>
    <row r="7" customFormat="false" ht="14.4" hidden="false" customHeight="false" outlineLevel="0" collapsed="false">
      <c r="A7" s="57"/>
      <c r="B7" s="57"/>
      <c r="C7" s="31"/>
    </row>
    <row r="8" customFormat="false" ht="14.4" hidden="false" customHeight="false" outlineLevel="0" collapsed="false">
      <c r="A8" s="57"/>
      <c r="B8" s="57"/>
      <c r="C8" s="31"/>
    </row>
    <row r="9" customFormat="false" ht="14.4" hidden="false" customHeight="false" outlineLevel="0" collapsed="false">
      <c r="A9" s="57"/>
      <c r="B9" s="57"/>
      <c r="C9" s="31"/>
    </row>
    <row r="10" customFormat="false" ht="14.4" hidden="false" customHeight="false" outlineLevel="0" collapsed="false">
      <c r="A10" s="57"/>
      <c r="B10" s="57"/>
      <c r="C10" s="31"/>
    </row>
    <row r="11" customFormat="false" ht="14.4" hidden="false" customHeight="false" outlineLevel="0" collapsed="false">
      <c r="A11" s="57"/>
      <c r="B11" s="57"/>
      <c r="C11" s="31"/>
    </row>
    <row r="12" customFormat="false" ht="14.4" hidden="false" customHeight="false" outlineLevel="0" collapsed="false">
      <c r="A12" s="57"/>
      <c r="B12" s="57"/>
      <c r="C12" s="31"/>
    </row>
    <row r="13" customFormat="false" ht="14.4" hidden="false" customHeight="false" outlineLevel="0" collapsed="false">
      <c r="A13" s="57"/>
      <c r="B13" s="57"/>
      <c r="C13" s="31"/>
    </row>
    <row r="14" customFormat="false" ht="14.4" hidden="false" customHeight="false" outlineLevel="0" collapsed="false">
      <c r="A14" s="57"/>
      <c r="B14" s="57"/>
      <c r="C14" s="31"/>
    </row>
    <row r="15" customFormat="false" ht="14.4" hidden="false" customHeight="false" outlineLevel="0" collapsed="false">
      <c r="A15" s="57"/>
      <c r="B15" s="57"/>
      <c r="C15" s="31"/>
    </row>
    <row r="16" customFormat="false" ht="14.4" hidden="false" customHeight="false" outlineLevel="0" collapsed="false">
      <c r="A16" s="57"/>
      <c r="B16" s="57"/>
      <c r="C16" s="31"/>
    </row>
    <row r="17" customFormat="false" ht="14.4" hidden="false" customHeight="false" outlineLevel="0" collapsed="false">
      <c r="A17" s="57"/>
      <c r="B17" s="57"/>
      <c r="C17" s="31"/>
    </row>
    <row r="18" customFormat="false" ht="14.4" hidden="false" customHeight="false" outlineLevel="0" collapsed="false">
      <c r="A18" s="57"/>
      <c r="B18" s="57"/>
      <c r="C18" s="31"/>
    </row>
    <row r="19" customFormat="false" ht="14.4" hidden="false" customHeight="false" outlineLevel="0" collapsed="false">
      <c r="A19" s="57"/>
      <c r="B19" s="57"/>
      <c r="C19" s="31"/>
    </row>
    <row r="20" customFormat="false" ht="14.4" hidden="false" customHeight="false" outlineLevel="0" collapsed="false">
      <c r="A20" s="57"/>
      <c r="B20" s="57"/>
      <c r="C20" s="31"/>
    </row>
    <row r="21" customFormat="false" ht="14.4" hidden="false" customHeight="false" outlineLevel="0" collapsed="false">
      <c r="A21" s="57"/>
      <c r="B21" s="57"/>
      <c r="C21" s="31"/>
    </row>
    <row r="22" customFormat="false" ht="14.4" hidden="false" customHeight="false" outlineLevel="0" collapsed="false">
      <c r="A22" s="57"/>
      <c r="B22" s="57"/>
      <c r="C22" s="31"/>
    </row>
    <row r="23" customFormat="false" ht="14.4" hidden="false" customHeight="false" outlineLevel="0" collapsed="false">
      <c r="A23" s="57"/>
      <c r="B23" s="57"/>
      <c r="C23" s="31"/>
    </row>
    <row r="24" customFormat="false" ht="14.4" hidden="false" customHeight="false" outlineLevel="0" collapsed="false">
      <c r="A24" s="57"/>
      <c r="B24" s="57"/>
      <c r="C24" s="31"/>
    </row>
    <row r="25" customFormat="false" ht="14.4" hidden="false" customHeight="false" outlineLevel="0" collapsed="false">
      <c r="A25" s="57"/>
      <c r="B25" s="57"/>
      <c r="C25" s="31"/>
    </row>
    <row r="26" customFormat="false" ht="14.4" hidden="false" customHeight="false" outlineLevel="0" collapsed="false">
      <c r="A26" s="57"/>
      <c r="B26" s="57"/>
      <c r="C26" s="31"/>
    </row>
    <row r="27" customFormat="false" ht="14.4" hidden="false" customHeight="false" outlineLevel="0" collapsed="false">
      <c r="A27" s="57"/>
      <c r="B27" s="57"/>
      <c r="C27" s="31"/>
    </row>
    <row r="28" customFormat="false" ht="14.4" hidden="false" customHeight="false" outlineLevel="0" collapsed="false">
      <c r="A28" s="57"/>
      <c r="B28" s="57"/>
      <c r="C28" s="31"/>
    </row>
    <row r="29" customFormat="false" ht="14.4" hidden="false" customHeight="false" outlineLevel="0" collapsed="false">
      <c r="A29" s="57"/>
      <c r="B29" s="57"/>
      <c r="C29" s="31"/>
    </row>
    <row r="30" customFormat="false" ht="14.4" hidden="false" customHeight="false" outlineLevel="0" collapsed="false">
      <c r="A30" s="57"/>
      <c r="B30" s="57"/>
      <c r="C30" s="31"/>
    </row>
    <row r="31" customFormat="false" ht="14.4" hidden="false" customHeight="false" outlineLevel="0" collapsed="false">
      <c r="A31" s="57"/>
      <c r="B31" s="57"/>
      <c r="C31" s="31"/>
    </row>
    <row r="32" customFormat="false" ht="14.4" hidden="false" customHeight="false" outlineLevel="0" collapsed="false">
      <c r="A32" s="57"/>
      <c r="B32" s="57"/>
      <c r="C32" s="31"/>
    </row>
    <row r="33" customFormat="false" ht="15" hidden="false" customHeight="false" outlineLevel="0" collapsed="false">
      <c r="A33" s="58"/>
      <c r="B33" s="58"/>
      <c r="C33" s="36"/>
    </row>
  </sheetData>
  <mergeCells count="1">
    <mergeCell ref="A1:C1"/>
  </mergeCells>
  <printOptions headings="false" gridLines="false" gridLinesSet="true" horizontalCentered="false" verticalCentered="false"/>
  <pageMargins left="0.7" right="0.7" top="0.7875" bottom="0.7875" header="0.511811023622047" footer="0.511811023622047"/>
  <pageSetup paperSize="9" scale="100" fitToWidth="1" fitToHeight="0" pageOrder="downThenOver" orientation="portrait" blackAndWhite="false" draft="false" cellComments="none" horizontalDpi="300" verticalDpi="300" copies="1"/>
  <headerFooter differentFirst="false" differentOddEven="false">
    <oddHeader/>
    <oddFooter/>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B3"/>
  <sheetViews>
    <sheetView showFormulas="false" showGridLines="true" showRowColHeaders="true" showZeros="true" rightToLeft="false" tabSelected="false" showOutlineSymbols="true" defaultGridColor="true" view="normal" topLeftCell="A1" colorId="64" zoomScale="95" zoomScaleNormal="95" zoomScalePageLayoutView="100" workbookViewId="0">
      <selection pane="topLeft" activeCell="B9" activeCellId="0" sqref="B9"/>
    </sheetView>
  </sheetViews>
  <sheetFormatPr defaultColWidth="11.58984375" defaultRowHeight="14.4" zeroHeight="false" outlineLevelRow="0" outlineLevelCol="0"/>
  <cols>
    <col collapsed="false" customWidth="true" hidden="false" outlineLevel="0" max="1" min="1" style="132" width="13.22"/>
    <col collapsed="false" customWidth="true" hidden="false" outlineLevel="0" max="2" min="2" style="132" width="36.77"/>
    <col collapsed="false" customWidth="false" hidden="false" outlineLevel="0" max="1024" min="3" style="132" width="11.57"/>
  </cols>
  <sheetData>
    <row r="1" customFormat="false" ht="14.4" hidden="false" customHeight="false" outlineLevel="0" collapsed="false">
      <c r="A1" s="133" t="s">
        <v>226</v>
      </c>
      <c r="B1" s="133" t="s">
        <v>227</v>
      </c>
    </row>
    <row r="2" customFormat="false" ht="28.8" hidden="false" customHeight="false" outlineLevel="0" collapsed="false">
      <c r="A2" s="132" t="s">
        <v>228</v>
      </c>
      <c r="B2" s="132" t="s">
        <v>229</v>
      </c>
    </row>
    <row r="3" customFormat="false" ht="14.4" hidden="false" customHeight="false" outlineLevel="0" collapsed="false">
      <c r="A3" s="132" t="s">
        <v>230</v>
      </c>
      <c r="B3" s="132" t="s">
        <v>231</v>
      </c>
    </row>
  </sheetData>
  <printOptions headings="false" gridLines="false" gridLinesSet="true" horizontalCentered="false" verticalCentered="false"/>
  <pageMargins left="0.7" right="0.7" top="0.7875" bottom="0.78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23145</TotalTime>
  <Application>LibreOffice/7.2.3.2$Windows_X86_64 LibreOffice_project/d166454616c1632304285822f9c83ce2e660fd92</Application>
  <AppVersion>15.0000</AppVersion>
  <DocSecurity>0</DocSecurit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2016-10-12T18:32:49Z</dcterms:created>
  <dc:creator>Philipp</dc:creator>
  <dc:description/>
  <dc:language>de-AT</dc:language>
  <cp:lastModifiedBy/>
  <cp:lastPrinted>2020-03-01T15:28:32Z</cp:lastPrinted>
  <dcterms:modified xsi:type="dcterms:W3CDTF">2022-03-14T07:40:53Z</dcterms:modified>
  <cp:revision>4</cp:revision>
  <dc:subject/>
  <dc:titl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HyperlinksChanged">
    <vt:bool>0</vt:bool>
  </property>
  <property fmtid="{D5CDD505-2E9C-101B-9397-08002B2CF9AE}" pid="3" name="LinksUpToDate">
    <vt:bool>0</vt:bool>
  </property>
  <property fmtid="{D5CDD505-2E9C-101B-9397-08002B2CF9AE}" pid="4" name="ScaleCrop">
    <vt:bool>0</vt:bool>
  </property>
  <property fmtid="{D5CDD505-2E9C-101B-9397-08002B2CF9AE}" pid="5" name="ShareDoc">
    <vt:bool>0</vt:bool>
  </property>
</Properties>
</file>