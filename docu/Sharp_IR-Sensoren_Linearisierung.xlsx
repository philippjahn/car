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ipp\Documents\GitHub\car\docu\"/>
    </mc:Choice>
  </mc:AlternateContent>
  <xr:revisionPtr revIDLastSave="0" documentId="13_ncr:1_{8E53B1DE-67AB-4AB5-BD32-D9385325A62C}" xr6:coauthVersionLast="47" xr6:coauthVersionMax="47" xr10:uidLastSave="{00000000-0000-0000-0000-000000000000}"/>
  <bookViews>
    <workbookView xWindow="-108" yWindow="-108" windowWidth="23256" windowHeight="12456" xr2:uid="{3FAD9BF2-B5AE-4568-AE41-C64B5EC617C1}"/>
  </bookViews>
  <sheets>
    <sheet name="Front" sheetId="1" r:id="rId1"/>
    <sheet name="Left" sheetId="2" r:id="rId2"/>
    <sheet name="Right" sheetId="5" r:id="rId3"/>
    <sheet name="Speedregler" sheetId="3" r:id="rId4"/>
    <sheet name="Spannungsteiler" sheetId="4" r:id="rId5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5" l="1"/>
  <c r="C8" i="5"/>
  <c r="C7" i="5"/>
  <c r="C6" i="5"/>
  <c r="C5" i="5"/>
  <c r="C4" i="5"/>
  <c r="C3" i="5"/>
  <c r="D23" i="5" s="1"/>
  <c r="C2" i="5"/>
  <c r="E8" i="4"/>
  <c r="F4" i="4"/>
  <c r="J1" i="4"/>
  <c r="F2" i="4"/>
  <c r="C9" i="2"/>
  <c r="C8" i="2"/>
  <c r="C10" i="3"/>
  <c r="C7" i="2"/>
  <c r="C6" i="2"/>
  <c r="C5" i="2"/>
  <c r="C4" i="2"/>
  <c r="C3" i="2"/>
  <c r="D23" i="2" s="1"/>
  <c r="C2" i="2"/>
  <c r="C3" i="1"/>
  <c r="C4" i="1"/>
  <c r="C5" i="1"/>
  <c r="C6" i="1"/>
  <c r="C7" i="1"/>
  <c r="C8" i="1"/>
  <c r="C9" i="1"/>
  <c r="C10" i="1"/>
  <c r="C11" i="1"/>
  <c r="C12" i="1"/>
  <c r="C13" i="1"/>
  <c r="C2" i="1"/>
  <c r="D23" i="1" l="1"/>
  <c r="D24" i="5"/>
  <c r="D26" i="5" s="1"/>
  <c r="D9" i="5"/>
  <c r="D5" i="5"/>
  <c r="D25" i="5"/>
  <c r="D7" i="5"/>
  <c r="D3" i="5"/>
  <c r="D4" i="5"/>
  <c r="D6" i="5"/>
  <c r="C11" i="3"/>
  <c r="B2" i="3" s="1"/>
  <c r="D24" i="2"/>
  <c r="D26" i="2" s="1"/>
  <c r="D25" i="2"/>
  <c r="D8" i="5" l="1"/>
  <c r="D2" i="5"/>
  <c r="D9" i="2"/>
  <c r="D7" i="2"/>
  <c r="D3" i="2"/>
  <c r="D2" i="2"/>
  <c r="D5" i="2"/>
  <c r="D4" i="2"/>
  <c r="D6" i="2"/>
  <c r="D8" i="2"/>
  <c r="D24" i="1"/>
  <c r="D25" i="1"/>
  <c r="D26" i="1" l="1"/>
  <c r="D2" i="1"/>
  <c r="D8" i="1"/>
  <c r="D4" i="1"/>
  <c r="D11" i="1"/>
  <c r="D5" i="1"/>
  <c r="D13" i="1"/>
  <c r="D10" i="1"/>
  <c r="D12" i="1"/>
  <c r="D3" i="1"/>
  <c r="D7" i="1"/>
  <c r="D9" i="1"/>
  <c r="D6" i="1"/>
</calcChain>
</file>

<file path=xl/sharedStrings.xml><?xml version="1.0" encoding="utf-8"?>
<sst xmlns="http://schemas.openxmlformats.org/spreadsheetml/2006/main" count="48" uniqueCount="31">
  <si>
    <t>Länge</t>
  </si>
  <si>
    <t>Werte</t>
  </si>
  <si>
    <t>1 / (l+k)</t>
  </si>
  <si>
    <t>k =</t>
  </si>
  <si>
    <t>d =</t>
  </si>
  <si>
    <t>m =</t>
  </si>
  <si>
    <t>m*ADC+d</t>
  </si>
  <si>
    <t>m' =</t>
  </si>
  <si>
    <t xml:space="preserve">d' = </t>
  </si>
  <si>
    <t>Distance</t>
  </si>
  <si>
    <t>Speed</t>
  </si>
  <si>
    <t>MAX_SPEED</t>
  </si>
  <si>
    <t>FORWARD_THRES</t>
  </si>
  <si>
    <t>BACKWARD_THRES</t>
  </si>
  <si>
    <t>LOW_SPEED</t>
  </si>
  <si>
    <t>speed</t>
  </si>
  <si>
    <t>distance</t>
  </si>
  <si>
    <t xml:space="preserve">d = </t>
  </si>
  <si>
    <t>speed = k*distance + d</t>
  </si>
  <si>
    <t>Eingang [V]</t>
  </si>
  <si>
    <t>R1 [Ohm]</t>
  </si>
  <si>
    <t>R2 [Ohm]</t>
  </si>
  <si>
    <t>Masse</t>
  </si>
  <si>
    <t>Ausgang [V]</t>
  </si>
  <si>
    <t>Auflösung ADC [Bit]</t>
  </si>
  <si>
    <t>Referenzspannung [V]</t>
  </si>
  <si>
    <t>Wert ADC</t>
  </si>
  <si>
    <t>Umrechnung von ADC Wert auf Spannung</t>
  </si>
  <si>
    <t>= ( (ADC-Wert / Auflösung) * Referenzspannung) / R2 * (R1 + R2)</t>
  </si>
  <si>
    <t>ADC Werte</t>
  </si>
  <si>
    <t>Länge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</si>
</sst>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2" fontId="0" fillId="0" borderId="0" xfId="0" applyNumberFormat="1"/>
    <xf numFmtId="0" fontId="0" fillId="2" borderId="0" xfId="0" applyFill="1"/>
    <xf numFmtId="43" fontId="0" fillId="0" borderId="0" xfId="0" applyNumberFormat="1"/>
    <xf numFmtId="164" fontId="0" fillId="2" borderId="0" xfId="1" applyNumberFormat="1" applyFont="1" applyFill="1"/>
    <xf numFmtId="0" fontId="0" fillId="0" borderId="0" xfId="0" quotePrefix="1"/>
    <xf numFmtId="0" fontId="0" fillId="3" borderId="0" xfId="0" applyFill="1"/>
  </cellXfs>
  <cellStyles count="2">
    <cellStyle name="Komma" xfId="1" builtinId="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Front!$B$1</c:f>
              <c:strCache>
                <c:ptCount val="1"/>
                <c:pt idx="0">
                  <c:v>ADC 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Front!$A$2:$A$13</c:f>
              <c:numCache>
                <c:formatCode>General</c:formatCode>
                <c:ptCount val="12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</c:numCache>
            </c:numRef>
          </c:xVal>
          <c:yVal>
            <c:numRef>
              <c:f>Front!$B$2:$B$13</c:f>
              <c:numCache>
                <c:formatCode>General</c:formatCode>
                <c:ptCount val="12"/>
                <c:pt idx="0">
                  <c:v>510</c:v>
                </c:pt>
                <c:pt idx="1">
                  <c:v>405</c:v>
                </c:pt>
                <c:pt idx="2">
                  <c:v>315</c:v>
                </c:pt>
                <c:pt idx="3">
                  <c:v>250</c:v>
                </c:pt>
                <c:pt idx="4">
                  <c:v>210</c:v>
                </c:pt>
                <c:pt idx="5">
                  <c:v>175</c:v>
                </c:pt>
                <c:pt idx="6">
                  <c:v>155</c:v>
                </c:pt>
                <c:pt idx="7">
                  <c:v>140</c:v>
                </c:pt>
                <c:pt idx="8">
                  <c:v>125</c:v>
                </c:pt>
                <c:pt idx="9">
                  <c:v>115</c:v>
                </c:pt>
                <c:pt idx="10">
                  <c:v>103</c:v>
                </c:pt>
                <c:pt idx="11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D6-4685-BCC2-D2FFCD3F6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747594050743676E-2"/>
          <c:y val="0.18097222222222226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Front!$C$1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Front!$B$2:$B$13</c:f>
              <c:numCache>
                <c:formatCode>General</c:formatCode>
                <c:ptCount val="12"/>
                <c:pt idx="0">
                  <c:v>510</c:v>
                </c:pt>
                <c:pt idx="1">
                  <c:v>405</c:v>
                </c:pt>
                <c:pt idx="2">
                  <c:v>315</c:v>
                </c:pt>
                <c:pt idx="3">
                  <c:v>250</c:v>
                </c:pt>
                <c:pt idx="4">
                  <c:v>210</c:v>
                </c:pt>
                <c:pt idx="5">
                  <c:v>175</c:v>
                </c:pt>
                <c:pt idx="6">
                  <c:v>155</c:v>
                </c:pt>
                <c:pt idx="7">
                  <c:v>140</c:v>
                </c:pt>
                <c:pt idx="8">
                  <c:v>125</c:v>
                </c:pt>
                <c:pt idx="9">
                  <c:v>115</c:v>
                </c:pt>
                <c:pt idx="10">
                  <c:v>103</c:v>
                </c:pt>
                <c:pt idx="11">
                  <c:v>95</c:v>
                </c:pt>
              </c:numCache>
            </c:numRef>
          </c:xVal>
          <c:yVal>
            <c:numRef>
              <c:f>Front!$C$2:$C$13</c:f>
              <c:numCache>
                <c:formatCode>General</c:formatCode>
                <c:ptCount val="12"/>
                <c:pt idx="0">
                  <c:v>3.8461538461538464E-2</c:v>
                </c:pt>
                <c:pt idx="1">
                  <c:v>2.7777777777777776E-2</c:v>
                </c:pt>
                <c:pt idx="2">
                  <c:v>2.1739130434782608E-2</c:v>
                </c:pt>
                <c:pt idx="3">
                  <c:v>1.7857142857142856E-2</c:v>
                </c:pt>
                <c:pt idx="4">
                  <c:v>1.5151515151515152E-2</c:v>
                </c:pt>
                <c:pt idx="5">
                  <c:v>1.3157894736842105E-2</c:v>
                </c:pt>
                <c:pt idx="6">
                  <c:v>1.1627906976744186E-2</c:v>
                </c:pt>
                <c:pt idx="7">
                  <c:v>1.0416666666666666E-2</c:v>
                </c:pt>
                <c:pt idx="8">
                  <c:v>9.433962264150943E-3</c:v>
                </c:pt>
                <c:pt idx="9">
                  <c:v>8.6206896551724137E-3</c:v>
                </c:pt>
                <c:pt idx="10">
                  <c:v>7.9365079365079361E-3</c:v>
                </c:pt>
                <c:pt idx="11">
                  <c:v>7.3529411764705881E-3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9-4248-922E-0CB7EC643FE7}"/>
            </c:ext>
          </c:extLst>
        </c:ser>
        <c:ser>
          <c:idx val="1"/>
          <c:order val="1"/>
          <c:tx>
            <c:strRef>
              <c:f>Front!$D$1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Front!$B$2:$B$13</c:f>
              <c:numCache>
                <c:formatCode>General</c:formatCode>
                <c:ptCount val="12"/>
                <c:pt idx="0">
                  <c:v>510</c:v>
                </c:pt>
                <c:pt idx="1">
                  <c:v>405</c:v>
                </c:pt>
                <c:pt idx="2">
                  <c:v>315</c:v>
                </c:pt>
                <c:pt idx="3">
                  <c:v>250</c:v>
                </c:pt>
                <c:pt idx="4">
                  <c:v>210</c:v>
                </c:pt>
                <c:pt idx="5">
                  <c:v>175</c:v>
                </c:pt>
                <c:pt idx="6">
                  <c:v>155</c:v>
                </c:pt>
                <c:pt idx="7">
                  <c:v>140</c:v>
                </c:pt>
                <c:pt idx="8">
                  <c:v>125</c:v>
                </c:pt>
                <c:pt idx="9">
                  <c:v>115</c:v>
                </c:pt>
                <c:pt idx="10">
                  <c:v>103</c:v>
                </c:pt>
                <c:pt idx="11">
                  <c:v>95</c:v>
                </c:pt>
              </c:numCache>
            </c:numRef>
          </c:xVal>
          <c:yVal>
            <c:numRef>
              <c:f>Front!$D$2:$D$13</c:f>
              <c:numCache>
                <c:formatCode>General</c:formatCode>
                <c:ptCount val="12"/>
                <c:pt idx="0">
                  <c:v>3.4695867594349561E-2</c:v>
                </c:pt>
                <c:pt idx="1">
                  <c:v>2.7777777777777773E-2</c:v>
                </c:pt>
                <c:pt idx="2">
                  <c:v>2.1847986506430526E-2</c:v>
                </c:pt>
                <c:pt idx="3">
                  <c:v>1.756535947712418E-2</c:v>
                </c:pt>
                <c:pt idx="4">
                  <c:v>1.4929896689858738E-2</c:v>
                </c:pt>
                <c:pt idx="5">
                  <c:v>1.2623866751001474E-2</c:v>
                </c:pt>
                <c:pt idx="6">
                  <c:v>1.1306135357368751E-2</c:v>
                </c:pt>
                <c:pt idx="7">
                  <c:v>1.031783681214421E-2</c:v>
                </c:pt>
                <c:pt idx="8">
                  <c:v>9.3295382669196687E-3</c:v>
                </c:pt>
                <c:pt idx="9">
                  <c:v>8.6706725701033091E-3</c:v>
                </c:pt>
                <c:pt idx="10">
                  <c:v>7.8800337339236769E-3</c:v>
                </c:pt>
                <c:pt idx="11">
                  <c:v>7.3529411764705881E-3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59-4248-922E-0CB7EC643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Left!$B$1</c:f>
              <c:strCache>
                <c:ptCount val="1"/>
                <c:pt idx="0">
                  <c:v>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Left!$A$2:$A$13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Left!$B$2:$B$13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41-462F-962B-1395E27DF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747701691844001E-2"/>
          <c:y val="0.15284265627134161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Left!$C$1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Left!$B$2:$B$13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Left!$D$2:$D$13</c:f>
              <c:numCache>
                <c:formatCode>General</c:formatCode>
                <c:ptCount val="12"/>
                <c:pt idx="0">
                  <c:v>7.447725503281058E-2</c:v>
                </c:pt>
                <c:pt idx="1">
                  <c:v>4.145812479145812E-2</c:v>
                </c:pt>
                <c:pt idx="2">
                  <c:v>3.0162106550995434E-2</c:v>
                </c:pt>
                <c:pt idx="3">
                  <c:v>2.3210710710710708E-2</c:v>
                </c:pt>
                <c:pt idx="4">
                  <c:v>1.8518518518518517E-2</c:v>
                </c:pt>
                <c:pt idx="5">
                  <c:v>1.5911745078411744E-2</c:v>
                </c:pt>
                <c:pt idx="6">
                  <c:v>1.3304971638304972E-2</c:v>
                </c:pt>
                <c:pt idx="7">
                  <c:v>8.4389945501056624E-3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5B-41F4-AFA3-E83DB025B08F}"/>
            </c:ext>
          </c:extLst>
        </c:ser>
        <c:ser>
          <c:idx val="1"/>
          <c:order val="1"/>
          <c:tx>
            <c:strRef>
              <c:f>Left!$D$1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Left!$B$2:$B$13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Left!$E$2:$E$13</c:f>
              <c:numCache>
                <c:formatCode>General</c:formatCode>
                <c:ptCount val="1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5B-41F4-AFA3-E83DB025B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Right!$B$1</c:f>
              <c:strCache>
                <c:ptCount val="1"/>
                <c:pt idx="0">
                  <c:v>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Right!$A$2:$A$13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Right!$B$2:$B$13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BF-4DE9-AB5B-041AD3B01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747594050743676E-2"/>
          <c:y val="0.18097222222222226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Right!$C$1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Right!$B$2:$B$13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Right!$C$2:$C$13</c:f>
              <c:numCache>
                <c:formatCode>General</c:formatCode>
                <c:ptCount val="12"/>
                <c:pt idx="0">
                  <c:v>7.1428571428571425E-2</c:v>
                </c:pt>
                <c:pt idx="1">
                  <c:v>4.1666666666666664E-2</c:v>
                </c:pt>
                <c:pt idx="2">
                  <c:v>2.9411764705882353E-2</c:v>
                </c:pt>
                <c:pt idx="3">
                  <c:v>2.2727272727272728E-2</c:v>
                </c:pt>
                <c:pt idx="4">
                  <c:v>1.8518518518518517E-2</c:v>
                </c:pt>
                <c:pt idx="5">
                  <c:v>1.5625E-2</c:v>
                </c:pt>
                <c:pt idx="6">
                  <c:v>1.3513513513513514E-2</c:v>
                </c:pt>
                <c:pt idx="7">
                  <c:v>1.1904761904761904E-2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9F-4CBC-8EED-EA5E5204F7D4}"/>
            </c:ext>
          </c:extLst>
        </c:ser>
        <c:ser>
          <c:idx val="1"/>
          <c:order val="1"/>
          <c:tx>
            <c:strRef>
              <c:f>Right!$D$1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Right!$B$2:$B$13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Right!$D$2:$D$13</c:f>
              <c:numCache>
                <c:formatCode>General</c:formatCode>
                <c:ptCount val="12"/>
                <c:pt idx="0">
                  <c:v>7.447725503281058E-2</c:v>
                </c:pt>
                <c:pt idx="1">
                  <c:v>4.145812479145812E-2</c:v>
                </c:pt>
                <c:pt idx="2">
                  <c:v>3.0162106550995434E-2</c:v>
                </c:pt>
                <c:pt idx="3">
                  <c:v>2.3210710710710708E-2</c:v>
                </c:pt>
                <c:pt idx="4">
                  <c:v>1.8518518518518517E-2</c:v>
                </c:pt>
                <c:pt idx="5">
                  <c:v>1.5911745078411744E-2</c:v>
                </c:pt>
                <c:pt idx="6">
                  <c:v>1.3304971638304972E-2</c:v>
                </c:pt>
                <c:pt idx="7">
                  <c:v>8.4389945501056624E-3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9F-4CBC-8EED-EA5E5204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7.9136482939632546E-2"/>
          <c:y val="0.18097222222222226"/>
          <c:w val="0.87130796150481193"/>
          <c:h val="0.7212580198308544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Speedregler!$D$5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Speedregler!$D$6:$D$7</c:f>
              <c:numCache>
                <c:formatCode>General</c:formatCode>
                <c:ptCount val="2"/>
                <c:pt idx="0">
                  <c:v>150</c:v>
                </c:pt>
                <c:pt idx="1">
                  <c:v>30</c:v>
                </c:pt>
              </c:numCache>
            </c:numRef>
          </c:xVal>
          <c:yVal>
            <c:numRef>
              <c:f>Speedregler!$B$6:$B$7</c:f>
              <c:numCache>
                <c:formatCode>General</c:formatCode>
                <c:ptCount val="2"/>
                <c:pt idx="0">
                  <c:v>255</c:v>
                </c:pt>
                <c:pt idx="1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25-4C5A-9F9D-32B749D9E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919695"/>
        <c:axId val="1688827119"/>
      </c:scatterChart>
      <c:valAx>
        <c:axId val="1687919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88827119"/>
        <c:crosses val="autoZero"/>
        <c:crossBetween val="midCat"/>
      </c:valAx>
      <c:valAx>
        <c:axId val="168882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87919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C9E1EAD-7EAB-B118-CC27-EA73A69B2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137086</xdr:colOff>
      <xdr:row>0</xdr:row>
      <xdr:rowOff>114300</xdr:rowOff>
    </xdr:from>
    <xdr:to>
      <xdr:col>11</xdr:col>
      <xdr:colOff>470</xdr:colOff>
      <xdr:row>15</xdr:row>
      <xdr:rowOff>103615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11B83F-9E89-742D-41E1-1F174A499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C8CAAF6-27E9-4E63-8140-ED44EDFB1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541111</xdr:colOff>
      <xdr:row>15</xdr:row>
      <xdr:rowOff>142240</xdr:rowOff>
    </xdr:from>
    <xdr:to>
      <xdr:col>17</xdr:col>
      <xdr:colOff>377825</xdr:colOff>
      <xdr:row>30</xdr:row>
      <xdr:rowOff>130810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140CD73-4BDE-429D-B1FA-D0A3334AD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88AF597-82B4-4EF0-92CF-59EB216500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541111</xdr:colOff>
      <xdr:row>15</xdr:row>
      <xdr:rowOff>142240</xdr:rowOff>
    </xdr:from>
    <xdr:to>
      <xdr:col>17</xdr:col>
      <xdr:colOff>377825</xdr:colOff>
      <xdr:row>30</xdr:row>
      <xdr:rowOff>130810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9E938EE-7BF4-4288-B3F9-687267493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198120</xdr:colOff>
      <xdr:row>1</xdr:row>
      <xdr:rowOff>95250</xdr:rowOff>
    </xdr:from>
    <xdr:to>
      <xdr:col>11</xdr:col>
      <xdr:colOff>15240</xdr:colOff>
      <xdr:row>16</xdr:row>
      <xdr:rowOff>95250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6A5354B-252E-ABFB-8AA7-CA0D9A56A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582-8EC9-4773-B372-BA84A49938AD}">
  <dimension ref="A1:D26"/>
  <sheetViews>
    <sheetView tabSelected="1" topLeftCell="A3" zoomScale="115" zoomScaleNormal="100" workbookViewId="0">
      <selection activeCell="E19" sqref="E19"/>
    </sheetView>
  </sheetViews>
  <sheetFormatPr baseColWidth="10" defaultRowHeight="14.4" x14ac:dyDescent="0.3"/>
  <cols>
    <col min="4" max="4" width="12.44140625" bestFit="1" customWidth="1"/>
    <col min="5" max="5" width="12" customWidth="1"/>
  </cols>
  <sheetData>
    <row r="1" spans="1:4" x14ac:dyDescent="0.3">
      <c r="A1" t="s">
        <v>30</v>
      </c>
      <c r="B1" t="s">
        <v>29</v>
      </c>
      <c r="C1" t="s">
        <v>2</v>
      </c>
      <c r="D1" t="s">
        <v>6</v>
      </c>
    </row>
    <row r="2" spans="1:4" x14ac:dyDescent="0.3">
      <c r="A2">
        <v>20</v>
      </c>
      <c r="B2" s="6">
        <v>510</v>
      </c>
      <c r="C2">
        <f t="shared" ref="C2:C13" si="0">1/(A2+$D$22)</f>
        <v>3.8461538461538464E-2</v>
      </c>
      <c r="D2">
        <f>$D$23*B2+$D$24</f>
        <v>3.4695867594349561E-2</v>
      </c>
    </row>
    <row r="3" spans="1:4" x14ac:dyDescent="0.3">
      <c r="A3">
        <v>30</v>
      </c>
      <c r="B3" s="6">
        <v>405</v>
      </c>
      <c r="C3">
        <f t="shared" si="0"/>
        <v>2.7777777777777776E-2</v>
      </c>
      <c r="D3">
        <f t="shared" ref="D3:D13" si="1">$D$23*B3+$D$24</f>
        <v>2.7777777777777773E-2</v>
      </c>
    </row>
    <row r="4" spans="1:4" x14ac:dyDescent="0.3">
      <c r="A4">
        <v>40</v>
      </c>
      <c r="B4" s="6">
        <v>315</v>
      </c>
      <c r="C4">
        <f t="shared" si="0"/>
        <v>2.1739130434782608E-2</v>
      </c>
      <c r="D4">
        <f t="shared" si="1"/>
        <v>2.1847986506430526E-2</v>
      </c>
    </row>
    <row r="5" spans="1:4" x14ac:dyDescent="0.3">
      <c r="A5">
        <v>50</v>
      </c>
      <c r="B5" s="6">
        <v>250</v>
      </c>
      <c r="C5">
        <f t="shared" si="0"/>
        <v>1.7857142857142856E-2</v>
      </c>
      <c r="D5">
        <f t="shared" si="1"/>
        <v>1.756535947712418E-2</v>
      </c>
    </row>
    <row r="6" spans="1:4" x14ac:dyDescent="0.3">
      <c r="A6">
        <v>60</v>
      </c>
      <c r="B6" s="6">
        <v>210</v>
      </c>
      <c r="C6">
        <f t="shared" si="0"/>
        <v>1.5151515151515152E-2</v>
      </c>
      <c r="D6">
        <f t="shared" si="1"/>
        <v>1.4929896689858738E-2</v>
      </c>
    </row>
    <row r="7" spans="1:4" x14ac:dyDescent="0.3">
      <c r="A7">
        <v>70</v>
      </c>
      <c r="B7" s="6">
        <v>175</v>
      </c>
      <c r="C7">
        <f t="shared" si="0"/>
        <v>1.3157894736842105E-2</v>
      </c>
      <c r="D7">
        <f t="shared" si="1"/>
        <v>1.2623866751001474E-2</v>
      </c>
    </row>
    <row r="8" spans="1:4" x14ac:dyDescent="0.3">
      <c r="A8">
        <v>80</v>
      </c>
      <c r="B8" s="6">
        <v>155</v>
      </c>
      <c r="C8">
        <f t="shared" si="0"/>
        <v>1.1627906976744186E-2</v>
      </c>
      <c r="D8">
        <f t="shared" si="1"/>
        <v>1.1306135357368751E-2</v>
      </c>
    </row>
    <row r="9" spans="1:4" x14ac:dyDescent="0.3">
      <c r="A9">
        <v>90</v>
      </c>
      <c r="B9" s="6">
        <v>140</v>
      </c>
      <c r="C9">
        <f t="shared" si="0"/>
        <v>1.0416666666666666E-2</v>
      </c>
      <c r="D9">
        <f t="shared" si="1"/>
        <v>1.031783681214421E-2</v>
      </c>
    </row>
    <row r="10" spans="1:4" x14ac:dyDescent="0.3">
      <c r="A10">
        <v>100</v>
      </c>
      <c r="B10" s="6">
        <v>125</v>
      </c>
      <c r="C10">
        <f t="shared" si="0"/>
        <v>9.433962264150943E-3</v>
      </c>
      <c r="D10">
        <f t="shared" si="1"/>
        <v>9.3295382669196687E-3</v>
      </c>
    </row>
    <row r="11" spans="1:4" x14ac:dyDescent="0.3">
      <c r="A11">
        <v>110</v>
      </c>
      <c r="B11" s="6">
        <v>115</v>
      </c>
      <c r="C11">
        <f t="shared" si="0"/>
        <v>8.6206896551724137E-3</v>
      </c>
      <c r="D11">
        <f t="shared" si="1"/>
        <v>8.6706725701033091E-3</v>
      </c>
    </row>
    <row r="12" spans="1:4" x14ac:dyDescent="0.3">
      <c r="A12">
        <v>120</v>
      </c>
      <c r="B12" s="6">
        <v>103</v>
      </c>
      <c r="C12">
        <f t="shared" si="0"/>
        <v>7.9365079365079361E-3</v>
      </c>
      <c r="D12">
        <f t="shared" si="1"/>
        <v>7.8800337339236769E-3</v>
      </c>
    </row>
    <row r="13" spans="1:4" x14ac:dyDescent="0.3">
      <c r="A13">
        <v>130</v>
      </c>
      <c r="B13" s="6">
        <v>95</v>
      </c>
      <c r="C13">
        <f t="shared" si="0"/>
        <v>7.3529411764705881E-3</v>
      </c>
      <c r="D13">
        <f t="shared" si="1"/>
        <v>7.3529411764705881E-3</v>
      </c>
    </row>
    <row r="14" spans="1:4" x14ac:dyDescent="0.3">
      <c r="A14">
        <v>140</v>
      </c>
    </row>
    <row r="15" spans="1:4" x14ac:dyDescent="0.3">
      <c r="A15">
        <v>150</v>
      </c>
    </row>
    <row r="22" spans="3:4" x14ac:dyDescent="0.3">
      <c r="C22" t="s">
        <v>3</v>
      </c>
      <c r="D22" s="6">
        <v>6</v>
      </c>
    </row>
    <row r="23" spans="3:4" x14ac:dyDescent="0.3">
      <c r="C23" t="s">
        <v>5</v>
      </c>
      <c r="D23">
        <f>(C3-C13)/(B3-B13)</f>
        <v>6.5886569681636078E-5</v>
      </c>
    </row>
    <row r="24" spans="3:4" x14ac:dyDescent="0.3">
      <c r="C24" t="s">
        <v>4</v>
      </c>
      <c r="D24">
        <f>C13-(D23*B13)</f>
        <v>1.0937170567151605E-3</v>
      </c>
    </row>
    <row r="25" spans="3:4" x14ac:dyDescent="0.3">
      <c r="C25" t="s">
        <v>7</v>
      </c>
      <c r="D25">
        <f>1/D23</f>
        <v>15177.600000000004</v>
      </c>
    </row>
    <row r="26" spans="3:4" x14ac:dyDescent="0.3">
      <c r="C26" t="s">
        <v>8</v>
      </c>
      <c r="D26">
        <f>D24/D23</f>
        <v>16.600000000000023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5B06-3885-459E-8A3A-CD8D9697C8CC}">
  <dimension ref="A1:D26"/>
  <sheetViews>
    <sheetView zoomScaleNormal="100" workbookViewId="0">
      <selection activeCell="D22" sqref="D22"/>
    </sheetView>
  </sheetViews>
  <sheetFormatPr baseColWidth="10" defaultRowHeight="14.4" x14ac:dyDescent="0.3"/>
  <cols>
    <col min="4" max="4" width="12.44140625" bestFit="1" customWidth="1"/>
    <col min="5" max="5" width="12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6</v>
      </c>
    </row>
    <row r="2" spans="1:4" x14ac:dyDescent="0.3">
      <c r="A2">
        <v>10</v>
      </c>
      <c r="B2">
        <v>440</v>
      </c>
      <c r="C2">
        <f t="shared" ref="C2:C9" si="0">1/(A2+$D$22)</f>
        <v>7.1428571428571425E-2</v>
      </c>
      <c r="D2">
        <f t="shared" ref="D2:D9" si="1">$D$23*B2+$D$24</f>
        <v>7.447725503281058E-2</v>
      </c>
    </row>
    <row r="3" spans="1:4" x14ac:dyDescent="0.3">
      <c r="A3">
        <v>20</v>
      </c>
      <c r="B3">
        <v>250</v>
      </c>
      <c r="C3">
        <f t="shared" si="0"/>
        <v>4.1666666666666664E-2</v>
      </c>
      <c r="D3">
        <f t="shared" si="1"/>
        <v>4.145812479145812E-2</v>
      </c>
    </row>
    <row r="4" spans="1:4" x14ac:dyDescent="0.3">
      <c r="A4">
        <v>30</v>
      </c>
      <c r="B4">
        <v>185</v>
      </c>
      <c r="C4">
        <f t="shared" si="0"/>
        <v>2.9411764705882353E-2</v>
      </c>
      <c r="D4">
        <f t="shared" si="1"/>
        <v>3.0162106550995434E-2</v>
      </c>
    </row>
    <row r="5" spans="1:4" x14ac:dyDescent="0.3">
      <c r="A5">
        <v>40</v>
      </c>
      <c r="B5">
        <v>145</v>
      </c>
      <c r="C5">
        <f t="shared" si="0"/>
        <v>2.2727272727272728E-2</v>
      </c>
      <c r="D5">
        <f t="shared" si="1"/>
        <v>2.3210710710710708E-2</v>
      </c>
    </row>
    <row r="6" spans="1:4" x14ac:dyDescent="0.3">
      <c r="A6">
        <v>50</v>
      </c>
      <c r="B6">
        <v>118</v>
      </c>
      <c r="C6">
        <f t="shared" si="0"/>
        <v>1.8518518518518517E-2</v>
      </c>
      <c r="D6">
        <f t="shared" si="1"/>
        <v>1.8518518518518517E-2</v>
      </c>
    </row>
    <row r="7" spans="1:4" x14ac:dyDescent="0.3">
      <c r="A7">
        <v>60</v>
      </c>
      <c r="B7">
        <v>103</v>
      </c>
      <c r="C7">
        <f t="shared" si="0"/>
        <v>1.5625E-2</v>
      </c>
      <c r="D7">
        <f t="shared" si="1"/>
        <v>1.5911745078411744E-2</v>
      </c>
    </row>
    <row r="8" spans="1:4" x14ac:dyDescent="0.3">
      <c r="A8">
        <v>70</v>
      </c>
      <c r="B8">
        <v>88</v>
      </c>
      <c r="C8">
        <f t="shared" si="0"/>
        <v>1.3513513513513514E-2</v>
      </c>
      <c r="D8">
        <f t="shared" si="1"/>
        <v>1.3304971638304972E-2</v>
      </c>
    </row>
    <row r="9" spans="1:4" x14ac:dyDescent="0.3">
      <c r="A9">
        <v>80</v>
      </c>
      <c r="B9">
        <v>60</v>
      </c>
      <c r="C9">
        <f t="shared" si="0"/>
        <v>1.1904761904761904E-2</v>
      </c>
      <c r="D9">
        <f t="shared" si="1"/>
        <v>8.4389945501056624E-3</v>
      </c>
    </row>
    <row r="22" spans="3:4" x14ac:dyDescent="0.3">
      <c r="C22" t="s">
        <v>3</v>
      </c>
      <c r="D22">
        <v>4</v>
      </c>
    </row>
    <row r="23" spans="3:4" x14ac:dyDescent="0.3">
      <c r="C23" t="s">
        <v>5</v>
      </c>
      <c r="D23">
        <f>(C3-C8)/(B3-B8)</f>
        <v>1.7378489600711821E-4</v>
      </c>
    </row>
    <row r="24" spans="3:4" x14ac:dyDescent="0.3">
      <c r="C24" t="s">
        <v>4</v>
      </c>
      <c r="D24">
        <f>C6-(D23*B6)</f>
        <v>-1.9880992103214305E-3</v>
      </c>
    </row>
    <row r="25" spans="3:4" x14ac:dyDescent="0.3">
      <c r="C25" t="s">
        <v>7</v>
      </c>
      <c r="D25">
        <f>1/D23</f>
        <v>5754.2400000000007</v>
      </c>
    </row>
    <row r="26" spans="3:4" x14ac:dyDescent="0.3">
      <c r="C26" t="s">
        <v>8</v>
      </c>
      <c r="D26">
        <f>D24/D23</f>
        <v>-11.439999999999991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225D-E477-4389-BE20-19943CAF7EFC}">
  <dimension ref="A1:D26"/>
  <sheetViews>
    <sheetView zoomScaleNormal="100" workbookViewId="0">
      <selection activeCell="D14" sqref="D14"/>
    </sheetView>
  </sheetViews>
  <sheetFormatPr baseColWidth="10" defaultRowHeight="14.4" x14ac:dyDescent="0.3"/>
  <cols>
    <col min="4" max="4" width="12.44140625" bestFit="1" customWidth="1"/>
    <col min="5" max="5" width="12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6</v>
      </c>
    </row>
    <row r="2" spans="1:4" x14ac:dyDescent="0.3">
      <c r="A2">
        <v>10</v>
      </c>
      <c r="B2">
        <v>440</v>
      </c>
      <c r="C2">
        <f t="shared" ref="C2:C9" si="0">1/(A2+$D$22)</f>
        <v>7.1428571428571425E-2</v>
      </c>
      <c r="D2">
        <f t="shared" ref="D2:D9" si="1">$D$23*B2+$D$24</f>
        <v>7.447725503281058E-2</v>
      </c>
    </row>
    <row r="3" spans="1:4" x14ac:dyDescent="0.3">
      <c r="A3">
        <v>20</v>
      </c>
      <c r="B3">
        <v>250</v>
      </c>
      <c r="C3">
        <f t="shared" si="0"/>
        <v>4.1666666666666664E-2</v>
      </c>
      <c r="D3">
        <f t="shared" si="1"/>
        <v>4.145812479145812E-2</v>
      </c>
    </row>
    <row r="4" spans="1:4" x14ac:dyDescent="0.3">
      <c r="A4">
        <v>30</v>
      </c>
      <c r="B4">
        <v>185</v>
      </c>
      <c r="C4">
        <f t="shared" si="0"/>
        <v>2.9411764705882353E-2</v>
      </c>
      <c r="D4">
        <f t="shared" si="1"/>
        <v>3.0162106550995434E-2</v>
      </c>
    </row>
    <row r="5" spans="1:4" x14ac:dyDescent="0.3">
      <c r="A5">
        <v>40</v>
      </c>
      <c r="B5">
        <v>145</v>
      </c>
      <c r="C5">
        <f t="shared" si="0"/>
        <v>2.2727272727272728E-2</v>
      </c>
      <c r="D5">
        <f t="shared" si="1"/>
        <v>2.3210710710710708E-2</v>
      </c>
    </row>
    <row r="6" spans="1:4" x14ac:dyDescent="0.3">
      <c r="A6">
        <v>50</v>
      </c>
      <c r="B6">
        <v>118</v>
      </c>
      <c r="C6">
        <f t="shared" si="0"/>
        <v>1.8518518518518517E-2</v>
      </c>
      <c r="D6">
        <f t="shared" si="1"/>
        <v>1.8518518518518517E-2</v>
      </c>
    </row>
    <row r="7" spans="1:4" x14ac:dyDescent="0.3">
      <c r="A7">
        <v>60</v>
      </c>
      <c r="B7">
        <v>103</v>
      </c>
      <c r="C7">
        <f t="shared" si="0"/>
        <v>1.5625E-2</v>
      </c>
      <c r="D7">
        <f t="shared" si="1"/>
        <v>1.5911745078411744E-2</v>
      </c>
    </row>
    <row r="8" spans="1:4" x14ac:dyDescent="0.3">
      <c r="A8">
        <v>70</v>
      </c>
      <c r="B8">
        <v>88</v>
      </c>
      <c r="C8">
        <f t="shared" si="0"/>
        <v>1.3513513513513514E-2</v>
      </c>
      <c r="D8">
        <f t="shared" si="1"/>
        <v>1.3304971638304972E-2</v>
      </c>
    </row>
    <row r="9" spans="1:4" x14ac:dyDescent="0.3">
      <c r="A9">
        <v>80</v>
      </c>
      <c r="B9">
        <v>60</v>
      </c>
      <c r="C9">
        <f t="shared" si="0"/>
        <v>1.1904761904761904E-2</v>
      </c>
      <c r="D9">
        <f t="shared" si="1"/>
        <v>8.4389945501056624E-3</v>
      </c>
    </row>
    <row r="22" spans="3:4" x14ac:dyDescent="0.3">
      <c r="C22" t="s">
        <v>3</v>
      </c>
      <c r="D22">
        <v>4</v>
      </c>
    </row>
    <row r="23" spans="3:4" x14ac:dyDescent="0.3">
      <c r="C23" t="s">
        <v>5</v>
      </c>
      <c r="D23">
        <f>(C3-C8)/(B3-B8)</f>
        <v>1.7378489600711821E-4</v>
      </c>
    </row>
    <row r="24" spans="3:4" x14ac:dyDescent="0.3">
      <c r="C24" t="s">
        <v>4</v>
      </c>
      <c r="D24">
        <f>C6-(D23*B6)</f>
        <v>-1.9880992103214305E-3</v>
      </c>
    </row>
    <row r="25" spans="3:4" x14ac:dyDescent="0.3">
      <c r="C25" t="s">
        <v>7</v>
      </c>
      <c r="D25">
        <f>1/D23</f>
        <v>5754.2400000000007</v>
      </c>
    </row>
    <row r="26" spans="3:4" x14ac:dyDescent="0.3">
      <c r="C26" t="s">
        <v>8</v>
      </c>
      <c r="D26">
        <f>D24/D23</f>
        <v>-11.439999999999991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D5A16-3AE8-473D-B64D-4BFA237EDA93}">
  <dimension ref="A1:D12"/>
  <sheetViews>
    <sheetView workbookViewId="0">
      <selection activeCell="B7" sqref="B7"/>
    </sheetView>
  </sheetViews>
  <sheetFormatPr baseColWidth="10" defaultRowHeight="14.4" x14ac:dyDescent="0.3"/>
  <cols>
    <col min="3" max="3" width="20.44140625" customWidth="1"/>
  </cols>
  <sheetData>
    <row r="1" spans="1:4" x14ac:dyDescent="0.3">
      <c r="A1" t="s">
        <v>9</v>
      </c>
      <c r="B1" t="s">
        <v>10</v>
      </c>
    </row>
    <row r="2" spans="1:4" x14ac:dyDescent="0.3">
      <c r="A2" s="2">
        <v>30</v>
      </c>
      <c r="B2">
        <f>C10*A2+C11</f>
        <v>90</v>
      </c>
    </row>
    <row r="5" spans="1:4" x14ac:dyDescent="0.3">
      <c r="B5" t="s">
        <v>15</v>
      </c>
      <c r="D5" t="s">
        <v>16</v>
      </c>
    </row>
    <row r="6" spans="1:4" x14ac:dyDescent="0.3">
      <c r="A6" t="s">
        <v>11</v>
      </c>
      <c r="B6">
        <v>255</v>
      </c>
      <c r="C6" t="s">
        <v>12</v>
      </c>
      <c r="D6">
        <v>150</v>
      </c>
    </row>
    <row r="7" spans="1:4" x14ac:dyDescent="0.3">
      <c r="A7" t="s">
        <v>14</v>
      </c>
      <c r="B7">
        <v>90</v>
      </c>
      <c r="C7" t="s">
        <v>13</v>
      </c>
      <c r="D7">
        <v>30</v>
      </c>
    </row>
    <row r="10" spans="1:4" x14ac:dyDescent="0.3">
      <c r="B10" t="s">
        <v>3</v>
      </c>
      <c r="C10" s="1">
        <f>(B6-B7)/(D6-D7)</f>
        <v>1.375</v>
      </c>
    </row>
    <row r="11" spans="1:4" x14ac:dyDescent="0.3">
      <c r="B11" t="s">
        <v>17</v>
      </c>
      <c r="C11">
        <f>B6-(C10*D6)</f>
        <v>48.75</v>
      </c>
    </row>
    <row r="12" spans="1:4" x14ac:dyDescent="0.3">
      <c r="B12" t="s">
        <v>18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8DDD3-0211-4839-AA65-464305A5DE24}">
  <dimension ref="A1:J9"/>
  <sheetViews>
    <sheetView workbookViewId="0">
      <selection activeCell="E10" sqref="E10"/>
    </sheetView>
  </sheetViews>
  <sheetFormatPr baseColWidth="10" defaultRowHeight="14.4" x14ac:dyDescent="0.3"/>
  <cols>
    <col min="8" max="8" width="19.44140625" customWidth="1"/>
  </cols>
  <sheetData>
    <row r="1" spans="1:10" x14ac:dyDescent="0.3">
      <c r="A1" t="s">
        <v>19</v>
      </c>
      <c r="B1" s="2">
        <v>6.6</v>
      </c>
      <c r="C1" t="s">
        <v>20</v>
      </c>
      <c r="D1" s="4">
        <v>120000</v>
      </c>
      <c r="H1" t="s">
        <v>24</v>
      </c>
      <c r="I1" s="2">
        <v>10</v>
      </c>
      <c r="J1">
        <f>2^I1</f>
        <v>1024</v>
      </c>
    </row>
    <row r="2" spans="1:10" x14ac:dyDescent="0.3">
      <c r="C2" t="s">
        <v>21</v>
      </c>
      <c r="D2" s="4">
        <v>33000</v>
      </c>
      <c r="E2" t="s">
        <v>23</v>
      </c>
      <c r="F2" s="3">
        <f>B1/(D1+D2)*D2</f>
        <v>1.4235294117647059</v>
      </c>
      <c r="H2" t="s">
        <v>25</v>
      </c>
      <c r="I2" s="2">
        <v>5</v>
      </c>
    </row>
    <row r="3" spans="1:10" x14ac:dyDescent="0.3">
      <c r="C3" t="s">
        <v>22</v>
      </c>
    </row>
    <row r="4" spans="1:10" x14ac:dyDescent="0.3">
      <c r="E4" t="s">
        <v>26</v>
      </c>
      <c r="F4" s="3">
        <f>J1/5*F2</f>
        <v>291.53882352941179</v>
      </c>
    </row>
    <row r="6" spans="1:10" x14ac:dyDescent="0.3">
      <c r="E6" t="s">
        <v>27</v>
      </c>
    </row>
    <row r="7" spans="1:10" x14ac:dyDescent="0.3">
      <c r="E7" s="5" t="s">
        <v>28</v>
      </c>
    </row>
    <row r="8" spans="1:10" x14ac:dyDescent="0.3">
      <c r="E8" s="3">
        <f>(F4/J1*I2)/D2*(D1+D2)</f>
        <v>6.6</v>
      </c>
    </row>
    <row r="9" spans="1:10" x14ac:dyDescent="0.3">
      <c r="E9" s="5"/>
    </row>
  </sheetData>
  <pageMargins left="0.7" right="0.7" top="0.78740157499999996" bottom="0.78740157499999996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Front</vt:lpstr>
      <vt:lpstr>Left</vt:lpstr>
      <vt:lpstr>Right</vt:lpstr>
      <vt:lpstr>Speedregler</vt:lpstr>
      <vt:lpstr>Spannungsteiler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Jahn Philipp</dc:creator>
  <cp:lastModifiedBy>Jahn Philipp</cp:lastModifiedBy>
  <dcterms:created xsi:type="dcterms:W3CDTF">2024-03-04T15:12:57Z</dcterms:created>
  <dcterms:modified xsi:type="dcterms:W3CDTF">2025-10-11T20:31:50Z</dcterms:modified>
</cp:coreProperties>
</file>