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ocuments\GitHub\car\docu\"/>
    </mc:Choice>
  </mc:AlternateContent>
  <xr:revisionPtr revIDLastSave="0" documentId="13_ncr:1_{E327C19E-7474-4997-8E55-F25FAA0AEBBF}" xr6:coauthVersionLast="47" xr6:coauthVersionMax="47" xr10:uidLastSave="{00000000-0000-0000-0000-000000000000}"/>
  <bookViews>
    <workbookView xWindow="-108" yWindow="-108" windowWidth="23256" windowHeight="12456" activeTab="2" xr2:uid="{3FAD9BF2-B5AE-4568-AE41-C64B5EC617C1}"/>
  </bookViews>
  <sheets>
    <sheet name="Front" sheetId="1" r:id="rId1"/>
    <sheet name="Right" sheetId="5" r:id="rId2"/>
    <sheet name="Left" sheetId="2" r:id="rId3"/>
    <sheet name="Speedregler" sheetId="3" r:id="rId4"/>
    <sheet name="Spannungsteiler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9" i="1"/>
  <c r="E8" i="1"/>
  <c r="E7" i="1"/>
  <c r="E6" i="1"/>
  <c r="E5" i="1"/>
  <c r="E4" i="1"/>
  <c r="E3" i="1"/>
  <c r="E2" i="1"/>
  <c r="C10" i="1"/>
  <c r="C15" i="1"/>
  <c r="C14" i="1"/>
  <c r="D15" i="1"/>
  <c r="D14" i="1"/>
  <c r="D19" i="1"/>
  <c r="C9" i="5"/>
  <c r="C8" i="5"/>
  <c r="C7" i="5"/>
  <c r="C6" i="5"/>
  <c r="C5" i="5"/>
  <c r="C4" i="5"/>
  <c r="C3" i="5"/>
  <c r="C2" i="5"/>
  <c r="E8" i="4"/>
  <c r="F4" i="4"/>
  <c r="J1" i="4"/>
  <c r="F2" i="4"/>
  <c r="C9" i="2"/>
  <c r="C8" i="2"/>
  <c r="C10" i="3"/>
  <c r="C7" i="2"/>
  <c r="C6" i="2"/>
  <c r="C5" i="2"/>
  <c r="C4" i="2"/>
  <c r="C3" i="2"/>
  <c r="D19" i="2" s="1"/>
  <c r="C2" i="2"/>
  <c r="C3" i="1"/>
  <c r="C4" i="1"/>
  <c r="C5" i="1"/>
  <c r="C6" i="1"/>
  <c r="C7" i="1"/>
  <c r="C8" i="1"/>
  <c r="C9" i="1"/>
  <c r="C11" i="1"/>
  <c r="C12" i="1"/>
  <c r="C13" i="1"/>
  <c r="C2" i="1"/>
  <c r="D19" i="5" l="1"/>
  <c r="D20" i="5" s="1"/>
  <c r="D22" i="5" s="1"/>
  <c r="C11" i="3"/>
  <c r="B2" i="3" s="1"/>
  <c r="D20" i="2"/>
  <c r="D22" i="2" s="1"/>
  <c r="D21" i="2"/>
  <c r="E7" i="2" l="1"/>
  <c r="E3" i="2"/>
  <c r="E9" i="2"/>
  <c r="E4" i="2"/>
  <c r="E6" i="2"/>
  <c r="E2" i="2"/>
  <c r="E5" i="2"/>
  <c r="E8" i="2"/>
  <c r="D4" i="5"/>
  <c r="D21" i="5"/>
  <c r="E8" i="5" s="1"/>
  <c r="E3" i="5"/>
  <c r="D5" i="5"/>
  <c r="D9" i="5"/>
  <c r="D3" i="5"/>
  <c r="D7" i="5"/>
  <c r="D6" i="5"/>
  <c r="D8" i="5"/>
  <c r="D2" i="5"/>
  <c r="D9" i="2"/>
  <c r="D7" i="2"/>
  <c r="D3" i="2"/>
  <c r="D2" i="2"/>
  <c r="D5" i="2"/>
  <c r="D4" i="2"/>
  <c r="D6" i="2"/>
  <c r="D8" i="2"/>
  <c r="D20" i="1"/>
  <c r="D21" i="1"/>
  <c r="E7" i="5" l="1"/>
  <c r="E4" i="5"/>
  <c r="E9" i="5"/>
  <c r="E5" i="5"/>
  <c r="E2" i="5"/>
  <c r="E6" i="5"/>
  <c r="D22" i="1"/>
  <c r="D2" i="1"/>
  <c r="D8" i="1"/>
  <c r="D4" i="1"/>
  <c r="D11" i="1"/>
  <c r="D5" i="1"/>
  <c r="D13" i="1"/>
  <c r="D10" i="1"/>
  <c r="D12" i="1"/>
  <c r="D3" i="1"/>
  <c r="D7" i="1"/>
  <c r="D9" i="1"/>
  <c r="D6" i="1"/>
</calcChain>
</file>

<file path=xl/sharedStrings.xml><?xml version="1.0" encoding="utf-8"?>
<sst xmlns="http://schemas.openxmlformats.org/spreadsheetml/2006/main" count="68" uniqueCount="39">
  <si>
    <t>Länge</t>
  </si>
  <si>
    <t>Werte</t>
  </si>
  <si>
    <t>1 / (l+k)</t>
  </si>
  <si>
    <t>k =</t>
  </si>
  <si>
    <t>d =</t>
  </si>
  <si>
    <t>m =</t>
  </si>
  <si>
    <t>m*ADC+d</t>
  </si>
  <si>
    <t>m' =</t>
  </si>
  <si>
    <t xml:space="preserve">d' = </t>
  </si>
  <si>
    <t>Distance</t>
  </si>
  <si>
    <t>Speed</t>
  </si>
  <si>
    <t>MAX_SPEED</t>
  </si>
  <si>
    <t>FORWARD_THRES</t>
  </si>
  <si>
    <t>BACKWARD_THRES</t>
  </si>
  <si>
    <t>LOW_SPEED</t>
  </si>
  <si>
    <t>speed</t>
  </si>
  <si>
    <t>distance</t>
  </si>
  <si>
    <t xml:space="preserve">d = </t>
  </si>
  <si>
    <t>speed = k*distance + d</t>
  </si>
  <si>
    <t>Eingang [V]</t>
  </si>
  <si>
    <t>R1 [Ohm]</t>
  </si>
  <si>
    <t>R2 [Ohm]</t>
  </si>
  <si>
    <t>Masse</t>
  </si>
  <si>
    <t>Ausgang [V]</t>
  </si>
  <si>
    <t>Auflösung ADC [Bit]</t>
  </si>
  <si>
    <t>Referenzspannung [V]</t>
  </si>
  <si>
    <t>Wert ADC</t>
  </si>
  <si>
    <t>Umrechnung von ADC Wert auf Spannung</t>
  </si>
  <si>
    <t>= ( (ADC-Wert / Auflösung) * Referenzspannung) / R2 * (R1 + R2)</t>
  </si>
  <si>
    <t>ADC Werte</t>
  </si>
  <si>
    <t>Länge l</t>
  </si>
  <si>
    <t>=1/m</t>
  </si>
  <si>
    <t>=m/d</t>
  </si>
  <si>
    <t>y = Wert in Zentimeter</t>
  </si>
  <si>
    <t/>
  </si>
  <si>
    <t>x = ADC Wert</t>
  </si>
  <si>
    <t xml:space="preserve"> </t>
  </si>
  <si>
    <t>y = (m'  / (x + d')) - k</t>
  </si>
  <si>
    <t>m'/(ADC + d') -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</si>
</sst>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43" fontId="0" fillId="0" borderId="0" xfId="0" applyNumberFormat="1"/>
    <xf numFmtId="164" fontId="0" fillId="2" borderId="0" xfId="1" applyNumberFormat="1" applyFont="1" applyFill="1"/>
    <xf numFmtId="0" fontId="0" fillId="0" borderId="0" xfId="0" quotePrefix="1"/>
    <xf numFmtId="0" fontId="0" fillId="3" borderId="0" xfId="0" applyFill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Front!$B$1</c:f>
              <c:strCache>
                <c:ptCount val="1"/>
                <c:pt idx="0">
                  <c:v>ADC Werte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Front!$A$2:$A$13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</c:numCache>
            </c:numRef>
          </c:xVal>
          <c:yVal>
            <c:numRef>
              <c:f>Front!$B$2:$B$13</c:f>
              <c:numCache>
                <c:formatCode>General</c:formatCode>
                <c:ptCount val="12"/>
                <c:pt idx="0">
                  <c:v>512</c:v>
                </c:pt>
                <c:pt idx="1">
                  <c:v>395</c:v>
                </c:pt>
                <c:pt idx="2">
                  <c:v>306</c:v>
                </c:pt>
                <c:pt idx="3">
                  <c:v>240</c:v>
                </c:pt>
                <c:pt idx="4">
                  <c:v>200</c:v>
                </c:pt>
                <c:pt idx="5">
                  <c:v>174</c:v>
                </c:pt>
                <c:pt idx="6">
                  <c:v>150</c:v>
                </c:pt>
                <c:pt idx="7">
                  <c:v>137</c:v>
                </c:pt>
                <c:pt idx="8">
                  <c:v>120</c:v>
                </c:pt>
                <c:pt idx="9">
                  <c:v>110</c:v>
                </c:pt>
                <c:pt idx="10">
                  <c:v>102</c:v>
                </c:pt>
                <c:pt idx="1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6-4685-BCC2-D2FFCD3F6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75712"/>
        <c:axId val="484240688"/>
      </c:scatterChart>
      <c:valAx>
        <c:axId val="4925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40688"/>
        <c:crosses val="autoZero"/>
        <c:crossBetween val="midCat"/>
      </c:valAx>
      <c:valAx>
        <c:axId val="4842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Näherungsgerade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Front!$C$1</c:f>
              <c:strCache>
                <c:ptCount val="1"/>
                <c:pt idx="0">
                  <c:v>1 / (l+k)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Front!$B$2:$B$13</c:f>
              <c:numCache>
                <c:formatCode>General</c:formatCode>
                <c:ptCount val="12"/>
                <c:pt idx="0">
                  <c:v>512</c:v>
                </c:pt>
                <c:pt idx="1">
                  <c:v>395</c:v>
                </c:pt>
                <c:pt idx="2">
                  <c:v>306</c:v>
                </c:pt>
                <c:pt idx="3">
                  <c:v>240</c:v>
                </c:pt>
                <c:pt idx="4">
                  <c:v>200</c:v>
                </c:pt>
                <c:pt idx="5">
                  <c:v>174</c:v>
                </c:pt>
                <c:pt idx="6">
                  <c:v>150</c:v>
                </c:pt>
                <c:pt idx="7">
                  <c:v>137</c:v>
                </c:pt>
                <c:pt idx="8">
                  <c:v>120</c:v>
                </c:pt>
                <c:pt idx="9">
                  <c:v>110</c:v>
                </c:pt>
                <c:pt idx="10">
                  <c:v>102</c:v>
                </c:pt>
                <c:pt idx="11">
                  <c:v>90</c:v>
                </c:pt>
              </c:numCache>
            </c:numRef>
          </c:xVal>
          <c:yVal>
            <c:numRef>
              <c:f>Front!$C$2:$C$13</c:f>
              <c:numCache>
                <c:formatCode>General</c:formatCode>
                <c:ptCount val="12"/>
                <c:pt idx="0">
                  <c:v>3.7037037037037035E-2</c:v>
                </c:pt>
                <c:pt idx="1">
                  <c:v>2.7027027027027029E-2</c:v>
                </c:pt>
                <c:pt idx="2">
                  <c:v>2.1276595744680851E-2</c:v>
                </c:pt>
                <c:pt idx="3">
                  <c:v>1.7543859649122806E-2</c:v>
                </c:pt>
                <c:pt idx="4">
                  <c:v>1.4925373134328358E-2</c:v>
                </c:pt>
                <c:pt idx="5">
                  <c:v>1.2987012987012988E-2</c:v>
                </c:pt>
                <c:pt idx="6">
                  <c:v>1.1494252873563218E-2</c:v>
                </c:pt>
                <c:pt idx="7">
                  <c:v>1.0309278350515464E-2</c:v>
                </c:pt>
                <c:pt idx="8">
                  <c:v>9.3457943925233638E-3</c:v>
                </c:pt>
                <c:pt idx="9">
                  <c:v>8.5470085470085479E-3</c:v>
                </c:pt>
                <c:pt idx="10">
                  <c:v>7.874015748031496E-3</c:v>
                </c:pt>
                <c:pt idx="11">
                  <c:v>7.2992700729927005E-3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9-4248-922E-0CB7EC643FE7}"/>
            </c:ext>
          </c:extLst>
        </c:ser>
        <c:ser>
          <c:idx val="1"/>
          <c:order val="1"/>
          <c:tx>
            <c:strRef>
              <c:f>Front!$D$1</c:f>
              <c:strCache>
                <c:ptCount val="1"/>
                <c:pt idx="0">
                  <c:v>m*ADC+d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Front!$B$2:$B$13</c:f>
              <c:numCache>
                <c:formatCode>General</c:formatCode>
                <c:ptCount val="12"/>
                <c:pt idx="0">
                  <c:v>512</c:v>
                </c:pt>
                <c:pt idx="1">
                  <c:v>395</c:v>
                </c:pt>
                <c:pt idx="2">
                  <c:v>306</c:v>
                </c:pt>
                <c:pt idx="3">
                  <c:v>240</c:v>
                </c:pt>
                <c:pt idx="4">
                  <c:v>200</c:v>
                </c:pt>
                <c:pt idx="5">
                  <c:v>174</c:v>
                </c:pt>
                <c:pt idx="6">
                  <c:v>150</c:v>
                </c:pt>
                <c:pt idx="7">
                  <c:v>137</c:v>
                </c:pt>
                <c:pt idx="8">
                  <c:v>120</c:v>
                </c:pt>
                <c:pt idx="9">
                  <c:v>110</c:v>
                </c:pt>
                <c:pt idx="10">
                  <c:v>102</c:v>
                </c:pt>
                <c:pt idx="11">
                  <c:v>90</c:v>
                </c:pt>
              </c:numCache>
            </c:numRef>
          </c:xVal>
          <c:yVal>
            <c:numRef>
              <c:f>Front!$D$2:$D$13</c:f>
              <c:numCache>
                <c:formatCode>General</c:formatCode>
                <c:ptCount val="12"/>
                <c:pt idx="0">
                  <c:v>3.4594723956935282E-2</c:v>
                </c:pt>
                <c:pt idx="1">
                  <c:v>2.7027027027027029E-2</c:v>
                </c:pt>
                <c:pt idx="2">
                  <c:v>2.1270402866669473E-2</c:v>
                </c:pt>
                <c:pt idx="3">
                  <c:v>1.7001445624157126E-2</c:v>
                </c:pt>
                <c:pt idx="4">
                  <c:v>1.4414198810513279E-2</c:v>
                </c:pt>
                <c:pt idx="5">
                  <c:v>1.2732488381644778E-2</c:v>
                </c:pt>
                <c:pt idx="6">
                  <c:v>1.1180140293458471E-2</c:v>
                </c:pt>
                <c:pt idx="7">
                  <c:v>1.0339285079024221E-2</c:v>
                </c:pt>
                <c:pt idx="8">
                  <c:v>9.2397051832255848E-3</c:v>
                </c:pt>
                <c:pt idx="9">
                  <c:v>8.5928934798146245E-3</c:v>
                </c:pt>
                <c:pt idx="10">
                  <c:v>8.075444117085856E-3</c:v>
                </c:pt>
                <c:pt idx="11">
                  <c:v>7.2992700729927005E-3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59-4248-922E-0CB7EC643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82432"/>
        <c:axId val="484238208"/>
      </c:scatterChart>
      <c:valAx>
        <c:axId val="49258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38208"/>
        <c:crosses val="autoZero"/>
        <c:crossBetween val="midCat"/>
      </c:valAx>
      <c:valAx>
        <c:axId val="4842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8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Right!$B$1</c:f>
              <c:strCache>
                <c:ptCount val="1"/>
                <c:pt idx="0">
                  <c:v>Werte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Right!$A$2:$A$13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Right!$B$2:$B$13</c:f>
              <c:numCache>
                <c:formatCode>General</c:formatCode>
                <c:ptCount val="12"/>
                <c:pt idx="0">
                  <c:v>497</c:v>
                </c:pt>
                <c:pt idx="1">
                  <c:v>278</c:v>
                </c:pt>
                <c:pt idx="2">
                  <c:v>185</c:v>
                </c:pt>
                <c:pt idx="3">
                  <c:v>145</c:v>
                </c:pt>
                <c:pt idx="4">
                  <c:v>122</c:v>
                </c:pt>
                <c:pt idx="5">
                  <c:v>102</c:v>
                </c:pt>
                <c:pt idx="6">
                  <c:v>85</c:v>
                </c:pt>
                <c:pt idx="7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F-4DE9-AB5B-041AD3B01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75712"/>
        <c:axId val="484240688"/>
      </c:scatterChart>
      <c:valAx>
        <c:axId val="4925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40688"/>
        <c:crosses val="autoZero"/>
        <c:crossBetween val="midCat"/>
      </c:valAx>
      <c:valAx>
        <c:axId val="4842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Näherungsgerade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Right!$C$1</c:f>
              <c:strCache>
                <c:ptCount val="1"/>
                <c:pt idx="0">
                  <c:v>1 / (l+k)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Right!$B$2:$B$9</c:f>
              <c:numCache>
                <c:formatCode>General</c:formatCode>
                <c:ptCount val="8"/>
                <c:pt idx="0">
                  <c:v>497</c:v>
                </c:pt>
                <c:pt idx="1">
                  <c:v>278</c:v>
                </c:pt>
                <c:pt idx="2">
                  <c:v>185</c:v>
                </c:pt>
                <c:pt idx="3">
                  <c:v>145</c:v>
                </c:pt>
                <c:pt idx="4">
                  <c:v>122</c:v>
                </c:pt>
                <c:pt idx="5">
                  <c:v>102</c:v>
                </c:pt>
                <c:pt idx="6">
                  <c:v>85</c:v>
                </c:pt>
                <c:pt idx="7">
                  <c:v>75</c:v>
                </c:pt>
              </c:numCache>
            </c:numRef>
          </c:xVal>
          <c:yVal>
            <c:numRef>
              <c:f>Right!$C$2:$C$9</c:f>
              <c:numCache>
                <c:formatCode>General</c:formatCode>
                <c:ptCount val="8"/>
                <c:pt idx="0">
                  <c:v>7.1428571428571425E-2</c:v>
                </c:pt>
                <c:pt idx="1">
                  <c:v>4.1666666666666664E-2</c:v>
                </c:pt>
                <c:pt idx="2">
                  <c:v>2.9411764705882353E-2</c:v>
                </c:pt>
                <c:pt idx="3">
                  <c:v>2.2727272727272728E-2</c:v>
                </c:pt>
                <c:pt idx="4">
                  <c:v>1.8518518518518517E-2</c:v>
                </c:pt>
                <c:pt idx="5">
                  <c:v>1.5625E-2</c:v>
                </c:pt>
                <c:pt idx="6">
                  <c:v>1.3513513513513514E-2</c:v>
                </c:pt>
                <c:pt idx="7">
                  <c:v>1.1904761904761904E-2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6-404A-8A7E-5002BF93056F}"/>
            </c:ext>
          </c:extLst>
        </c:ser>
        <c:ser>
          <c:idx val="1"/>
          <c:order val="1"/>
          <c:tx>
            <c:strRef>
              <c:f>Right!$D$1</c:f>
              <c:strCache>
                <c:ptCount val="1"/>
                <c:pt idx="0">
                  <c:v>m*ADC+d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Right!$B$2:$B$9</c:f>
              <c:numCache>
                <c:formatCode>General</c:formatCode>
                <c:ptCount val="8"/>
                <c:pt idx="0">
                  <c:v>497</c:v>
                </c:pt>
                <c:pt idx="1">
                  <c:v>278</c:v>
                </c:pt>
                <c:pt idx="2">
                  <c:v>185</c:v>
                </c:pt>
                <c:pt idx="3">
                  <c:v>145</c:v>
                </c:pt>
                <c:pt idx="4">
                  <c:v>122</c:v>
                </c:pt>
                <c:pt idx="5">
                  <c:v>102</c:v>
                </c:pt>
                <c:pt idx="6">
                  <c:v>85</c:v>
                </c:pt>
                <c:pt idx="7">
                  <c:v>75</c:v>
                </c:pt>
              </c:numCache>
            </c:numRef>
          </c:xVal>
          <c:yVal>
            <c:numRef>
              <c:f>Right!$D$2:$D$9</c:f>
              <c:numCache>
                <c:formatCode>General</c:formatCode>
                <c:ptCount val="8"/>
                <c:pt idx="0">
                  <c:v>7.322024096635496E-2</c:v>
                </c:pt>
                <c:pt idx="1">
                  <c:v>4.1274435056818472E-2</c:v>
                </c:pt>
                <c:pt idx="2">
                  <c:v>2.7708407889755038E-2</c:v>
                </c:pt>
                <c:pt idx="3">
                  <c:v>2.1873557495319152E-2</c:v>
                </c:pt>
                <c:pt idx="4">
                  <c:v>1.8518518518518517E-2</c:v>
                </c:pt>
                <c:pt idx="5">
                  <c:v>1.5601093321300575E-2</c:v>
                </c:pt>
                <c:pt idx="6">
                  <c:v>1.3121281903665323E-2</c:v>
                </c:pt>
                <c:pt idx="7">
                  <c:v>1.1662569305056351E-2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F6-404A-8A7E-5002BF930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82432"/>
        <c:axId val="484238208"/>
      </c:scatterChart>
      <c:valAx>
        <c:axId val="49258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38208"/>
        <c:crosses val="autoZero"/>
        <c:crossBetween val="midCat"/>
      </c:valAx>
      <c:valAx>
        <c:axId val="4842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8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Left!$B$1</c:f>
              <c:strCache>
                <c:ptCount val="1"/>
                <c:pt idx="0">
                  <c:v>Werte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Left!$A$2:$A$13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Left!$B$2:$B$13</c:f>
              <c:numCache>
                <c:formatCode>General</c:formatCode>
                <c:ptCount val="12"/>
                <c:pt idx="0">
                  <c:v>500</c:v>
                </c:pt>
                <c:pt idx="1">
                  <c:v>268</c:v>
                </c:pt>
                <c:pt idx="2">
                  <c:v>197</c:v>
                </c:pt>
                <c:pt idx="3">
                  <c:v>148</c:v>
                </c:pt>
                <c:pt idx="4">
                  <c:v>120</c:v>
                </c:pt>
                <c:pt idx="5">
                  <c:v>100</c:v>
                </c:pt>
                <c:pt idx="6">
                  <c:v>85</c:v>
                </c:pt>
                <c:pt idx="7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1-462F-962B-1395E27DF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75712"/>
        <c:axId val="484240688"/>
      </c:scatterChart>
      <c:valAx>
        <c:axId val="4925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40688"/>
        <c:crosses val="autoZero"/>
        <c:crossBetween val="midCat"/>
      </c:valAx>
      <c:valAx>
        <c:axId val="4842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Näherungsgerade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Left!$C$1</c:f>
              <c:strCache>
                <c:ptCount val="1"/>
                <c:pt idx="0">
                  <c:v>1 / (l+k)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Left!$B$2:$B$9</c:f>
              <c:numCache>
                <c:formatCode>General</c:formatCode>
                <c:ptCount val="8"/>
                <c:pt idx="0">
                  <c:v>500</c:v>
                </c:pt>
                <c:pt idx="1">
                  <c:v>268</c:v>
                </c:pt>
                <c:pt idx="2">
                  <c:v>197</c:v>
                </c:pt>
                <c:pt idx="3">
                  <c:v>148</c:v>
                </c:pt>
                <c:pt idx="4">
                  <c:v>120</c:v>
                </c:pt>
                <c:pt idx="5">
                  <c:v>100</c:v>
                </c:pt>
                <c:pt idx="6">
                  <c:v>85</c:v>
                </c:pt>
                <c:pt idx="7">
                  <c:v>75</c:v>
                </c:pt>
              </c:numCache>
            </c:numRef>
          </c:xVal>
          <c:yVal>
            <c:numRef>
              <c:f>Left!$C$2:$C$9</c:f>
              <c:numCache>
                <c:formatCode>General</c:formatCode>
                <c:ptCount val="8"/>
                <c:pt idx="0">
                  <c:v>7.1428571428571425E-2</c:v>
                </c:pt>
                <c:pt idx="1">
                  <c:v>4.1666666666666664E-2</c:v>
                </c:pt>
                <c:pt idx="2">
                  <c:v>2.9411764705882353E-2</c:v>
                </c:pt>
                <c:pt idx="3">
                  <c:v>2.2727272727272728E-2</c:v>
                </c:pt>
                <c:pt idx="4">
                  <c:v>1.8518518518518517E-2</c:v>
                </c:pt>
                <c:pt idx="5">
                  <c:v>1.5625E-2</c:v>
                </c:pt>
                <c:pt idx="6">
                  <c:v>1.3513513513513514E-2</c:v>
                </c:pt>
                <c:pt idx="7">
                  <c:v>1.1904761904761904E-2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7-489C-80A8-7AC8DA9F9636}"/>
            </c:ext>
          </c:extLst>
        </c:ser>
        <c:ser>
          <c:idx val="1"/>
          <c:order val="1"/>
          <c:tx>
            <c:strRef>
              <c:f>Left!$D$1</c:f>
              <c:strCache>
                <c:ptCount val="1"/>
                <c:pt idx="0">
                  <c:v>m*ADC+d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Left!$B$2:$B$9</c:f>
              <c:numCache>
                <c:formatCode>General</c:formatCode>
                <c:ptCount val="8"/>
                <c:pt idx="0">
                  <c:v>500</c:v>
                </c:pt>
                <c:pt idx="1">
                  <c:v>268</c:v>
                </c:pt>
                <c:pt idx="2">
                  <c:v>197</c:v>
                </c:pt>
                <c:pt idx="3">
                  <c:v>148</c:v>
                </c:pt>
                <c:pt idx="4">
                  <c:v>120</c:v>
                </c:pt>
                <c:pt idx="5">
                  <c:v>100</c:v>
                </c:pt>
                <c:pt idx="6">
                  <c:v>85</c:v>
                </c:pt>
                <c:pt idx="7">
                  <c:v>75</c:v>
                </c:pt>
              </c:numCache>
            </c:numRef>
          </c:xVal>
          <c:yVal>
            <c:numRef>
              <c:f>Left!$D$2:$D$9</c:f>
              <c:numCache>
                <c:formatCode>General</c:formatCode>
                <c:ptCount val="8"/>
                <c:pt idx="0">
                  <c:v>7.6978617962224508E-2</c:v>
                </c:pt>
                <c:pt idx="1">
                  <c:v>4.1287188828172429E-2</c:v>
                </c:pt>
                <c:pt idx="2">
                  <c:v>3.0364380774216836E-2</c:v>
                </c:pt>
                <c:pt idx="3">
                  <c:v>2.2826104793317904E-2</c:v>
                </c:pt>
                <c:pt idx="4">
                  <c:v>1.8518518518518517E-2</c:v>
                </c:pt>
                <c:pt idx="5">
                  <c:v>1.5441671179376096E-2</c:v>
                </c:pt>
                <c:pt idx="6">
                  <c:v>1.3134035675019281E-2</c:v>
                </c:pt>
                <c:pt idx="7">
                  <c:v>1.1595612005448071E-2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7-489C-80A8-7AC8DA9F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82432"/>
        <c:axId val="484238208"/>
      </c:scatterChart>
      <c:valAx>
        <c:axId val="49258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38208"/>
        <c:crosses val="autoZero"/>
        <c:crossBetween val="midCat"/>
      </c:valAx>
      <c:valAx>
        <c:axId val="4842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8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8097222222222226"/>
          <c:w val="0.87130796150481193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Speedregler!$D$5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Speedregler!$D$6:$D$7</c:f>
              <c:numCache>
                <c:formatCode>General</c:formatCode>
                <c:ptCount val="2"/>
                <c:pt idx="0">
                  <c:v>150</c:v>
                </c:pt>
                <c:pt idx="1">
                  <c:v>30</c:v>
                </c:pt>
              </c:numCache>
            </c:numRef>
          </c:xVal>
          <c:yVal>
            <c:numRef>
              <c:f>Speedregler!$B$6:$B$7</c:f>
              <c:numCache>
                <c:formatCode>General</c:formatCode>
                <c:ptCount val="2"/>
                <c:pt idx="0">
                  <c:v>255</c:v>
                </c:pt>
                <c:pt idx="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5-4C5A-9F9D-32B749D9E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19695"/>
        <c:axId val="1688827119"/>
      </c:scatterChart>
      <c:valAx>
        <c:axId val="168791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8827119"/>
        <c:crosses val="autoZero"/>
        <c:crossBetween val="midCat"/>
      </c:valAx>
      <c:valAx>
        <c:axId val="168882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791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126366</xdr:colOff>
      <xdr:row>16</xdr:row>
      <xdr:rowOff>40323</xdr:rowOff>
    </xdr:from>
    <xdr:to>
      <xdr:col>10</xdr:col>
      <xdr:colOff>227240</xdr:colOff>
      <xdr:row>31</xdr:row>
      <xdr:rowOff>28077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9E1EAD-7EAB-B118-CC27-EA73A69B2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137086</xdr:colOff>
      <xdr:row>0</xdr:row>
      <xdr:rowOff>114300</xdr:rowOff>
    </xdr:from>
    <xdr:to>
      <xdr:col>11</xdr:col>
      <xdr:colOff>470</xdr:colOff>
      <xdr:row>15</xdr:row>
      <xdr:rowOff>103615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11B83F-9E89-742D-41E1-1F174A499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126366</xdr:colOff>
      <xdr:row>16</xdr:row>
      <xdr:rowOff>40323</xdr:rowOff>
    </xdr:from>
    <xdr:to>
      <xdr:col>10</xdr:col>
      <xdr:colOff>227240</xdr:colOff>
      <xdr:row>31</xdr:row>
      <xdr:rowOff>28077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88AF597-82B4-4EF0-92CF-59EB21650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0</xdr:row>
      <xdr:rowOff>30480</xdr:rowOff>
    </xdr:from>
    <xdr:to>
      <xdr:col>11</xdr:col>
      <xdr:colOff>31687</xdr:colOff>
      <xdr:row>15</xdr:row>
      <xdr:rowOff>59552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868EB22-3ABD-43D9-8B7B-386640303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126366</xdr:colOff>
      <xdr:row>16</xdr:row>
      <xdr:rowOff>40323</xdr:rowOff>
    </xdr:from>
    <xdr:to>
      <xdr:col>10</xdr:col>
      <xdr:colOff>227240</xdr:colOff>
      <xdr:row>31</xdr:row>
      <xdr:rowOff>28077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C8CAAF6-27E9-4E63-8140-ED44EDFB1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137160</xdr:colOff>
      <xdr:row>0</xdr:row>
      <xdr:rowOff>22860</xdr:rowOff>
    </xdr:from>
    <xdr:to>
      <xdr:col>11</xdr:col>
      <xdr:colOff>16447</xdr:colOff>
      <xdr:row>15</xdr:row>
      <xdr:rowOff>51932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4D32D9D-4E7B-4991-A841-0B4D528E5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1</xdr:row>
      <xdr:rowOff>95250</xdr:rowOff>
    </xdr:from>
    <xdr:to>
      <xdr:col>11</xdr:col>
      <xdr:colOff>15240</xdr:colOff>
      <xdr:row>16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6A5354B-252E-ABFB-8AA7-CA0D9A56A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5582-8EC9-4773-B372-BA84A49938AD}">
  <dimension ref="A1:E26"/>
  <sheetViews>
    <sheetView zoomScaleNormal="100" workbookViewId="0">
      <selection activeCell="E16" sqref="E16"/>
    </sheetView>
  </sheetViews>
  <sheetFormatPr baseColWidth="10" defaultRowHeight="14.4" x14ac:dyDescent="0.3"/>
  <cols>
    <col min="4" max="4" width="12.44140625" bestFit="1" customWidth="1"/>
    <col min="5" max="5" width="12" customWidth="1"/>
  </cols>
  <sheetData>
    <row r="1" spans="1:5" x14ac:dyDescent="0.3">
      <c r="A1" t="s">
        <v>30</v>
      </c>
      <c r="B1" t="s">
        <v>29</v>
      </c>
      <c r="C1" t="s">
        <v>2</v>
      </c>
      <c r="D1" t="s">
        <v>6</v>
      </c>
      <c r="E1" t="s">
        <v>38</v>
      </c>
    </row>
    <row r="2" spans="1:5" x14ac:dyDescent="0.3">
      <c r="A2">
        <v>20</v>
      </c>
      <c r="B2" s="6">
        <v>512</v>
      </c>
      <c r="C2">
        <f t="shared" ref="C2:C15" si="0">1/(A2+$D$18)</f>
        <v>3.7037037037037035E-2</v>
      </c>
      <c r="D2">
        <f t="shared" ref="D2:D15" si="1">$D$19*B2+$D$20</f>
        <v>3.4594723956935282E-2</v>
      </c>
      <c r="E2">
        <f>$D$21/(B2+$D$22)-$D$18</f>
        <v>21.906141908946427</v>
      </c>
    </row>
    <row r="3" spans="1:5" x14ac:dyDescent="0.3">
      <c r="A3">
        <v>30</v>
      </c>
      <c r="B3" s="6">
        <v>395</v>
      </c>
      <c r="C3">
        <f t="shared" si="0"/>
        <v>2.7027027027027029E-2</v>
      </c>
      <c r="D3">
        <f t="shared" si="1"/>
        <v>2.7027027027027029E-2</v>
      </c>
      <c r="E3">
        <f t="shared" ref="E3:E10" si="2">$D$21/(B3+$D$22)-$D$18</f>
        <v>29.999999999999993</v>
      </c>
    </row>
    <row r="4" spans="1:5" x14ac:dyDescent="0.3">
      <c r="A4">
        <v>40</v>
      </c>
      <c r="B4" s="6">
        <v>306</v>
      </c>
      <c r="C4">
        <f t="shared" si="0"/>
        <v>2.1276595744680851E-2</v>
      </c>
      <c r="D4">
        <f t="shared" si="1"/>
        <v>2.1270402866669473E-2</v>
      </c>
      <c r="E4">
        <f t="shared" si="2"/>
        <v>40.013684050478936</v>
      </c>
    </row>
    <row r="5" spans="1:5" x14ac:dyDescent="0.3">
      <c r="A5">
        <v>50</v>
      </c>
      <c r="B5" s="6">
        <v>240</v>
      </c>
      <c r="C5">
        <f t="shared" si="0"/>
        <v>1.7543859649122806E-2</v>
      </c>
      <c r="D5">
        <f t="shared" si="1"/>
        <v>1.7001445624157126E-2</v>
      </c>
      <c r="E5">
        <f t="shared" si="2"/>
        <v>51.818527677382534</v>
      </c>
    </row>
    <row r="6" spans="1:5" x14ac:dyDescent="0.3">
      <c r="A6">
        <v>60</v>
      </c>
      <c r="B6" s="6">
        <v>200</v>
      </c>
      <c r="C6">
        <f t="shared" si="0"/>
        <v>1.4925373134328358E-2</v>
      </c>
      <c r="D6">
        <f t="shared" si="1"/>
        <v>1.4414198810513279E-2</v>
      </c>
      <c r="E6">
        <f t="shared" si="2"/>
        <v>62.376037693515812</v>
      </c>
    </row>
    <row r="7" spans="1:5" x14ac:dyDescent="0.3">
      <c r="A7">
        <v>70</v>
      </c>
      <c r="B7" s="6">
        <v>174</v>
      </c>
      <c r="C7">
        <f t="shared" si="0"/>
        <v>1.2987012987012988E-2</v>
      </c>
      <c r="D7">
        <f t="shared" si="1"/>
        <v>1.2732488381644778E-2</v>
      </c>
      <c r="E7">
        <f t="shared" si="2"/>
        <v>71.539243078486152</v>
      </c>
    </row>
    <row r="8" spans="1:5" x14ac:dyDescent="0.3">
      <c r="A8">
        <v>80</v>
      </c>
      <c r="B8" s="6">
        <v>150</v>
      </c>
      <c r="C8">
        <f t="shared" si="0"/>
        <v>1.1494252873563218E-2</v>
      </c>
      <c r="D8">
        <f t="shared" si="1"/>
        <v>1.1180140293458471E-2</v>
      </c>
      <c r="E8">
        <f t="shared" si="2"/>
        <v>82.44431588082152</v>
      </c>
    </row>
    <row r="9" spans="1:5" x14ac:dyDescent="0.3">
      <c r="A9">
        <v>90</v>
      </c>
      <c r="B9" s="6">
        <v>137</v>
      </c>
      <c r="C9">
        <f t="shared" si="0"/>
        <v>1.0309278350515464E-2</v>
      </c>
      <c r="D9">
        <f t="shared" si="1"/>
        <v>1.0339285079024221E-2</v>
      </c>
      <c r="E9">
        <f t="shared" si="2"/>
        <v>89.718486080700657</v>
      </c>
    </row>
    <row r="10" spans="1:5" x14ac:dyDescent="0.3">
      <c r="A10">
        <v>100</v>
      </c>
      <c r="B10" s="6">
        <v>120</v>
      </c>
      <c r="C10">
        <f>1/(A10+$D$18)</f>
        <v>9.3457943925233638E-3</v>
      </c>
      <c r="D10">
        <f t="shared" si="1"/>
        <v>9.2397051832255848E-3</v>
      </c>
      <c r="E10">
        <f t="shared" si="2"/>
        <v>101.22856142807142</v>
      </c>
    </row>
    <row r="11" spans="1:5" x14ac:dyDescent="0.3">
      <c r="A11">
        <v>110</v>
      </c>
      <c r="B11" s="6">
        <v>110</v>
      </c>
      <c r="C11">
        <f t="shared" si="0"/>
        <v>8.5470085470085479E-3</v>
      </c>
      <c r="D11">
        <f t="shared" si="1"/>
        <v>8.5928934798146245E-3</v>
      </c>
      <c r="E11">
        <f>$D$21/(B11+$D$22)-$D$18</f>
        <v>109.37523522770041</v>
      </c>
    </row>
    <row r="12" spans="1:5" x14ac:dyDescent="0.3">
      <c r="A12">
        <v>120</v>
      </c>
      <c r="B12" s="6">
        <v>102</v>
      </c>
      <c r="C12">
        <f t="shared" si="0"/>
        <v>7.874015748031496E-3</v>
      </c>
      <c r="D12">
        <f t="shared" si="1"/>
        <v>8.075444117085856E-3</v>
      </c>
      <c r="E12">
        <f t="shared" ref="E12:E15" si="3">$D$21/(B12+$D$22)-$D$18</f>
        <v>116.83219863836605</v>
      </c>
    </row>
    <row r="13" spans="1:5" x14ac:dyDescent="0.3">
      <c r="A13">
        <v>130</v>
      </c>
      <c r="B13" s="6">
        <v>90</v>
      </c>
      <c r="C13">
        <f t="shared" si="0"/>
        <v>7.2992700729927005E-3</v>
      </c>
      <c r="D13">
        <f t="shared" si="1"/>
        <v>7.2992700729927005E-3</v>
      </c>
      <c r="E13">
        <f t="shared" si="3"/>
        <v>130.00000000000003</v>
      </c>
    </row>
    <row r="14" spans="1:5" x14ac:dyDescent="0.3">
      <c r="A14">
        <v>140</v>
      </c>
      <c r="B14" s="6">
        <v>82</v>
      </c>
      <c r="C14">
        <f t="shared" si="0"/>
        <v>6.8027210884353739E-3</v>
      </c>
      <c r="D14">
        <f t="shared" si="1"/>
        <v>6.781820710263931E-3</v>
      </c>
      <c r="E14">
        <f t="shared" si="3"/>
        <v>140.45302813543159</v>
      </c>
    </row>
    <row r="15" spans="1:5" x14ac:dyDescent="0.3">
      <c r="A15">
        <v>150</v>
      </c>
      <c r="B15" s="6">
        <v>78</v>
      </c>
      <c r="C15">
        <f t="shared" si="0"/>
        <v>6.369426751592357E-3</v>
      </c>
      <c r="D15">
        <f t="shared" si="1"/>
        <v>6.5230960288995467E-3</v>
      </c>
      <c r="E15">
        <f t="shared" si="3"/>
        <v>146.30143777887955</v>
      </c>
    </row>
    <row r="18" spans="3:5" x14ac:dyDescent="0.3">
      <c r="C18" t="s">
        <v>3</v>
      </c>
      <c r="D18" s="6">
        <v>7</v>
      </c>
    </row>
    <row r="19" spans="3:5" x14ac:dyDescent="0.3">
      <c r="C19" t="s">
        <v>5</v>
      </c>
      <c r="D19">
        <f>(C3-C13)/(B3-B13)</f>
        <v>6.4681170341096168E-5</v>
      </c>
    </row>
    <row r="20" spans="3:5" x14ac:dyDescent="0.3">
      <c r="C20" t="s">
        <v>4</v>
      </c>
      <c r="D20">
        <f>C13-(D19*B13)</f>
        <v>1.4779647422940457E-3</v>
      </c>
    </row>
    <row r="21" spans="3:5" x14ac:dyDescent="0.3">
      <c r="C21" t="s">
        <v>7</v>
      </c>
      <c r="D21">
        <f>1/D19</f>
        <v>15460.449999999997</v>
      </c>
      <c r="E21" s="5" t="s">
        <v>31</v>
      </c>
    </row>
    <row r="22" spans="3:5" x14ac:dyDescent="0.3">
      <c r="C22" t="s">
        <v>8</v>
      </c>
      <c r="D22">
        <f>D20/D19</f>
        <v>22.849999999999973</v>
      </c>
      <c r="E22" s="5" t="s">
        <v>32</v>
      </c>
    </row>
    <row r="24" spans="3:5" x14ac:dyDescent="0.3">
      <c r="C24" s="5" t="s">
        <v>37</v>
      </c>
    </row>
    <row r="25" spans="3:5" x14ac:dyDescent="0.3">
      <c r="C25" t="s">
        <v>33</v>
      </c>
    </row>
    <row r="26" spans="3:5" x14ac:dyDescent="0.3">
      <c r="C26" t="s">
        <v>35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25D-E477-4389-BE20-19943CAF7EFC}">
  <dimension ref="A1:E26"/>
  <sheetViews>
    <sheetView zoomScaleNormal="100" workbookViewId="0">
      <selection activeCell="D15" sqref="D15"/>
    </sheetView>
  </sheetViews>
  <sheetFormatPr baseColWidth="10" defaultRowHeight="14.4" x14ac:dyDescent="0.3"/>
  <cols>
    <col min="4" max="4" width="12.44140625" bestFit="1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38</v>
      </c>
    </row>
    <row r="2" spans="1:5" x14ac:dyDescent="0.3">
      <c r="A2">
        <v>10</v>
      </c>
      <c r="B2">
        <v>497</v>
      </c>
      <c r="C2">
        <f t="shared" ref="C2:C9" si="0">1/(A2+$D$18)</f>
        <v>7.1428571428571425E-2</v>
      </c>
      <c r="D2">
        <f t="shared" ref="D2:D9" si="1">$D$19*B2+$D$20</f>
        <v>7.322024096635496E-2</v>
      </c>
      <c r="E2">
        <f>$D$21/(B2+$D$22)-$D$18</f>
        <v>9.6574256899742341</v>
      </c>
    </row>
    <row r="3" spans="1:5" x14ac:dyDescent="0.3">
      <c r="A3">
        <v>20</v>
      </c>
      <c r="B3">
        <v>278</v>
      </c>
      <c r="C3">
        <f t="shared" si="0"/>
        <v>4.1666666666666664E-2</v>
      </c>
      <c r="D3">
        <f t="shared" si="1"/>
        <v>4.1274435056818472E-2</v>
      </c>
      <c r="E3">
        <f t="shared" ref="E3:E9" si="2">$D$21/(B3+$D$22)-$D$18</f>
        <v>20.228072379994977</v>
      </c>
    </row>
    <row r="4" spans="1:5" x14ac:dyDescent="0.3">
      <c r="A4">
        <v>30</v>
      </c>
      <c r="B4">
        <v>185</v>
      </c>
      <c r="C4">
        <f t="shared" si="0"/>
        <v>2.9411764705882353E-2</v>
      </c>
      <c r="D4">
        <f t="shared" si="1"/>
        <v>2.7708407889755038E-2</v>
      </c>
      <c r="E4">
        <f t="shared" si="2"/>
        <v>32.090128454105148</v>
      </c>
    </row>
    <row r="5" spans="1:5" x14ac:dyDescent="0.3">
      <c r="A5">
        <v>40</v>
      </c>
      <c r="B5">
        <v>145</v>
      </c>
      <c r="C5">
        <f t="shared" si="0"/>
        <v>2.2727272727272728E-2</v>
      </c>
      <c r="D5">
        <f t="shared" si="1"/>
        <v>2.1873557495319152E-2</v>
      </c>
      <c r="E5">
        <f t="shared" si="2"/>
        <v>41.717300453481137</v>
      </c>
    </row>
    <row r="6" spans="1:5" x14ac:dyDescent="0.3">
      <c r="A6">
        <v>50</v>
      </c>
      <c r="B6">
        <v>122</v>
      </c>
      <c r="C6">
        <f t="shared" si="0"/>
        <v>1.8518518518518517E-2</v>
      </c>
      <c r="D6">
        <f t="shared" si="1"/>
        <v>1.8518518518518517E-2</v>
      </c>
      <c r="E6">
        <f t="shared" si="2"/>
        <v>50</v>
      </c>
    </row>
    <row r="7" spans="1:5" x14ac:dyDescent="0.3">
      <c r="A7">
        <v>60</v>
      </c>
      <c r="B7">
        <v>102</v>
      </c>
      <c r="C7">
        <f t="shared" si="0"/>
        <v>1.5625E-2</v>
      </c>
      <c r="D7">
        <f t="shared" si="1"/>
        <v>1.5601093321300575E-2</v>
      </c>
      <c r="E7">
        <f t="shared" si="2"/>
        <v>60.098071808510639</v>
      </c>
    </row>
    <row r="8" spans="1:5" x14ac:dyDescent="0.3">
      <c r="A8">
        <v>70</v>
      </c>
      <c r="B8">
        <v>85</v>
      </c>
      <c r="C8">
        <f t="shared" si="0"/>
        <v>1.3513513513513514E-2</v>
      </c>
      <c r="D8">
        <f t="shared" si="1"/>
        <v>1.3121281903665323E-2</v>
      </c>
      <c r="E8">
        <f t="shared" si="2"/>
        <v>72.212065813528341</v>
      </c>
    </row>
    <row r="9" spans="1:5" x14ac:dyDescent="0.3">
      <c r="A9">
        <v>80</v>
      </c>
      <c r="B9">
        <v>75</v>
      </c>
      <c r="C9">
        <f t="shared" si="0"/>
        <v>1.1904761904761904E-2</v>
      </c>
      <c r="D9">
        <f t="shared" si="1"/>
        <v>1.1662569305056351E-2</v>
      </c>
      <c r="E9">
        <f t="shared" si="2"/>
        <v>81.744399355161491</v>
      </c>
    </row>
    <row r="15" spans="1:5" x14ac:dyDescent="0.3">
      <c r="E15" t="s">
        <v>36</v>
      </c>
    </row>
    <row r="18" spans="3:5" x14ac:dyDescent="0.3">
      <c r="C18" t="s">
        <v>3</v>
      </c>
      <c r="D18">
        <v>4</v>
      </c>
    </row>
    <row r="19" spans="3:5" x14ac:dyDescent="0.3">
      <c r="C19" t="s">
        <v>5</v>
      </c>
      <c r="D19">
        <f>(C3-C8)/(B3-B8)</f>
        <v>1.4587125986089715E-4</v>
      </c>
    </row>
    <row r="20" spans="3:5" x14ac:dyDescent="0.3">
      <c r="C20" t="s">
        <v>4</v>
      </c>
      <c r="D20">
        <f>C6-(D19*B6)</f>
        <v>7.2222481548906564E-4</v>
      </c>
    </row>
    <row r="21" spans="3:5" x14ac:dyDescent="0.3">
      <c r="C21" t="s">
        <v>7</v>
      </c>
      <c r="D21">
        <f>1/D19</f>
        <v>6855.3600000000006</v>
      </c>
      <c r="E21" s="5" t="s">
        <v>31</v>
      </c>
    </row>
    <row r="22" spans="3:5" x14ac:dyDescent="0.3">
      <c r="C22" t="s">
        <v>8</v>
      </c>
      <c r="D22">
        <f>D20/D19</f>
        <v>4.9511111111111212</v>
      </c>
      <c r="E22" s="5" t="s">
        <v>32</v>
      </c>
    </row>
    <row r="24" spans="3:5" x14ac:dyDescent="0.3">
      <c r="C24" s="5" t="s">
        <v>37</v>
      </c>
    </row>
    <row r="25" spans="3:5" x14ac:dyDescent="0.3">
      <c r="C25" t="s">
        <v>33</v>
      </c>
    </row>
    <row r="26" spans="3:5" x14ac:dyDescent="0.3">
      <c r="C26" t="s">
        <v>35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5B06-3885-459E-8A3A-CD8D9697C8CC}">
  <dimension ref="A1:E26"/>
  <sheetViews>
    <sheetView tabSelected="1" zoomScaleNormal="100" workbookViewId="0">
      <selection activeCell="C18" sqref="C18"/>
    </sheetView>
  </sheetViews>
  <sheetFormatPr baseColWidth="10" defaultRowHeight="14.4" x14ac:dyDescent="0.3"/>
  <cols>
    <col min="4" max="4" width="12.44140625" bestFit="1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38</v>
      </c>
    </row>
    <row r="2" spans="1:5" x14ac:dyDescent="0.3">
      <c r="A2">
        <v>10</v>
      </c>
      <c r="B2">
        <v>500</v>
      </c>
      <c r="C2">
        <f t="shared" ref="C2:C9" si="0">1/(A2+$D$18)</f>
        <v>7.1428571428571425E-2</v>
      </c>
      <c r="D2">
        <f t="shared" ref="D2:D9" si="1">$D$19*B2+$D$20</f>
        <v>7.6978617962224508E-2</v>
      </c>
      <c r="E2">
        <f>$D$21/(B2+$D$22)-$D$18</f>
        <v>8.99062033681518</v>
      </c>
    </row>
    <row r="3" spans="1:5" x14ac:dyDescent="0.3">
      <c r="A3">
        <v>20</v>
      </c>
      <c r="B3">
        <v>268</v>
      </c>
      <c r="C3">
        <f t="shared" si="0"/>
        <v>4.1666666666666664E-2</v>
      </c>
      <c r="D3">
        <f t="shared" si="1"/>
        <v>4.1287188828172429E-2</v>
      </c>
      <c r="E3">
        <f t="shared" ref="E3:E9" si="2">$D$21/(B3+$D$22)-$D$18</f>
        <v>20.22058823529412</v>
      </c>
    </row>
    <row r="4" spans="1:5" x14ac:dyDescent="0.3">
      <c r="A4">
        <v>30</v>
      </c>
      <c r="B4">
        <v>197</v>
      </c>
      <c r="C4">
        <f t="shared" si="0"/>
        <v>2.9411764705882353E-2</v>
      </c>
      <c r="D4">
        <f t="shared" si="1"/>
        <v>3.0364380774216836E-2</v>
      </c>
      <c r="E4">
        <f t="shared" si="2"/>
        <v>28.933324326150107</v>
      </c>
    </row>
    <row r="5" spans="1:5" x14ac:dyDescent="0.3">
      <c r="A5">
        <v>40</v>
      </c>
      <c r="B5">
        <v>148</v>
      </c>
      <c r="C5">
        <f t="shared" si="0"/>
        <v>2.2727272727272728E-2</v>
      </c>
      <c r="D5">
        <f t="shared" si="1"/>
        <v>2.2826104793317904E-2</v>
      </c>
      <c r="E5">
        <f t="shared" si="2"/>
        <v>39.809489575844722</v>
      </c>
    </row>
    <row r="6" spans="1:5" x14ac:dyDescent="0.3">
      <c r="A6">
        <v>50</v>
      </c>
      <c r="B6">
        <v>120</v>
      </c>
      <c r="C6">
        <f t="shared" si="0"/>
        <v>1.8518518518518517E-2</v>
      </c>
      <c r="D6">
        <f t="shared" si="1"/>
        <v>1.8518518518518517E-2</v>
      </c>
      <c r="E6">
        <f t="shared" si="2"/>
        <v>50.000000000000007</v>
      </c>
    </row>
    <row r="7" spans="1:5" x14ac:dyDescent="0.3">
      <c r="A7">
        <v>60</v>
      </c>
      <c r="B7">
        <v>100</v>
      </c>
      <c r="C7">
        <f t="shared" si="0"/>
        <v>1.5625E-2</v>
      </c>
      <c r="D7">
        <f t="shared" si="1"/>
        <v>1.5441671179376096E-2</v>
      </c>
      <c r="E7">
        <f t="shared" si="2"/>
        <v>60.759829968119035</v>
      </c>
    </row>
    <row r="8" spans="1:5" x14ac:dyDescent="0.3">
      <c r="A8">
        <v>70</v>
      </c>
      <c r="B8">
        <v>85</v>
      </c>
      <c r="C8">
        <f t="shared" si="0"/>
        <v>1.3513513513513514E-2</v>
      </c>
      <c r="D8">
        <f t="shared" si="1"/>
        <v>1.3134035675019281E-2</v>
      </c>
      <c r="E8">
        <f t="shared" si="2"/>
        <v>72.138060284241774</v>
      </c>
    </row>
    <row r="9" spans="1:5" x14ac:dyDescent="0.3">
      <c r="A9">
        <v>80</v>
      </c>
      <c r="B9">
        <v>75</v>
      </c>
      <c r="C9">
        <f t="shared" si="0"/>
        <v>1.1904761904761904E-2</v>
      </c>
      <c r="D9">
        <f t="shared" si="1"/>
        <v>1.1595612005448071E-2</v>
      </c>
      <c r="E9">
        <f t="shared" si="2"/>
        <v>82.239518839554222</v>
      </c>
    </row>
    <row r="18" spans="1:5" x14ac:dyDescent="0.3">
      <c r="C18" t="s">
        <v>3</v>
      </c>
      <c r="D18">
        <v>4</v>
      </c>
    </row>
    <row r="19" spans="1:5" x14ac:dyDescent="0.3">
      <c r="C19" t="s">
        <v>5</v>
      </c>
      <c r="D19">
        <f>(C3-C8)/(B3-B8)</f>
        <v>1.5384236695712103E-4</v>
      </c>
    </row>
    <row r="20" spans="1:5" x14ac:dyDescent="0.3">
      <c r="C20" t="s">
        <v>4</v>
      </c>
      <c r="D20">
        <f>C6-(D19*B6)</f>
        <v>5.7434483663992841E-5</v>
      </c>
    </row>
    <row r="21" spans="1:5" x14ac:dyDescent="0.3">
      <c r="C21" t="s">
        <v>7</v>
      </c>
      <c r="D21">
        <f>1/D19</f>
        <v>6500.1600000000008</v>
      </c>
      <c r="E21" s="5" t="s">
        <v>31</v>
      </c>
    </row>
    <row r="22" spans="1:5" x14ac:dyDescent="0.3">
      <c r="C22" t="s">
        <v>8</v>
      </c>
      <c r="D22">
        <f>D20/D19</f>
        <v>0.37333333333333979</v>
      </c>
      <c r="E22" s="5" t="s">
        <v>32</v>
      </c>
    </row>
    <row r="24" spans="1:5" x14ac:dyDescent="0.3">
      <c r="C24" s="5" t="s">
        <v>37</v>
      </c>
    </row>
    <row r="25" spans="1:5" x14ac:dyDescent="0.3">
      <c r="A25" s="5" t="s">
        <v>34</v>
      </c>
      <c r="C25" t="s">
        <v>33</v>
      </c>
    </row>
    <row r="26" spans="1:5" x14ac:dyDescent="0.3">
      <c r="C26" t="s">
        <v>35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5A16-3AE8-473D-B64D-4BFA237EDA93}">
  <dimension ref="A1:D12"/>
  <sheetViews>
    <sheetView workbookViewId="0">
      <selection activeCell="B7" sqref="B7"/>
    </sheetView>
  </sheetViews>
  <sheetFormatPr baseColWidth="10" defaultRowHeight="14.4" x14ac:dyDescent="0.3"/>
  <cols>
    <col min="3" max="3" width="20.44140625" customWidth="1"/>
  </cols>
  <sheetData>
    <row r="1" spans="1:4" x14ac:dyDescent="0.3">
      <c r="A1" t="s">
        <v>9</v>
      </c>
      <c r="B1" t="s">
        <v>10</v>
      </c>
    </row>
    <row r="2" spans="1:4" x14ac:dyDescent="0.3">
      <c r="A2" s="2">
        <v>30</v>
      </c>
      <c r="B2">
        <f>C10*A2+C11</f>
        <v>90</v>
      </c>
    </row>
    <row r="5" spans="1:4" x14ac:dyDescent="0.3">
      <c r="B5" t="s">
        <v>15</v>
      </c>
      <c r="D5" t="s">
        <v>16</v>
      </c>
    </row>
    <row r="6" spans="1:4" x14ac:dyDescent="0.3">
      <c r="A6" t="s">
        <v>11</v>
      </c>
      <c r="B6">
        <v>255</v>
      </c>
      <c r="C6" t="s">
        <v>12</v>
      </c>
      <c r="D6">
        <v>150</v>
      </c>
    </row>
    <row r="7" spans="1:4" x14ac:dyDescent="0.3">
      <c r="A7" t="s">
        <v>14</v>
      </c>
      <c r="B7">
        <v>90</v>
      </c>
      <c r="C7" t="s">
        <v>13</v>
      </c>
      <c r="D7">
        <v>30</v>
      </c>
    </row>
    <row r="10" spans="1:4" x14ac:dyDescent="0.3">
      <c r="B10" t="s">
        <v>3</v>
      </c>
      <c r="C10" s="1">
        <f>(B6-B7)/(D6-D7)</f>
        <v>1.375</v>
      </c>
    </row>
    <row r="11" spans="1:4" x14ac:dyDescent="0.3">
      <c r="B11" t="s">
        <v>17</v>
      </c>
      <c r="C11">
        <f>B6-(C10*D6)</f>
        <v>48.75</v>
      </c>
    </row>
    <row r="12" spans="1:4" x14ac:dyDescent="0.3">
      <c r="B12" t="s">
        <v>18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DDD3-0211-4839-AA65-464305A5DE24}">
  <dimension ref="A1:J9"/>
  <sheetViews>
    <sheetView workbookViewId="0">
      <selection activeCell="G19" sqref="G19"/>
    </sheetView>
  </sheetViews>
  <sheetFormatPr baseColWidth="10" defaultRowHeight="14.4" x14ac:dyDescent="0.3"/>
  <cols>
    <col min="8" max="8" width="19.44140625" customWidth="1"/>
  </cols>
  <sheetData>
    <row r="1" spans="1:10" x14ac:dyDescent="0.3">
      <c r="A1" t="s">
        <v>19</v>
      </c>
      <c r="B1" s="2">
        <v>6.6</v>
      </c>
      <c r="C1" t="s">
        <v>20</v>
      </c>
      <c r="D1" s="4">
        <v>120000</v>
      </c>
      <c r="H1" t="s">
        <v>24</v>
      </c>
      <c r="I1" s="2">
        <v>10</v>
      </c>
      <c r="J1">
        <f>2^I1</f>
        <v>1024</v>
      </c>
    </row>
    <row r="2" spans="1:10" x14ac:dyDescent="0.3">
      <c r="C2" t="s">
        <v>21</v>
      </c>
      <c r="D2" s="4">
        <v>33000</v>
      </c>
      <c r="E2" t="s">
        <v>23</v>
      </c>
      <c r="F2" s="3">
        <f>B1/(D1+D2)*D2</f>
        <v>1.4235294117647059</v>
      </c>
      <c r="H2" t="s">
        <v>25</v>
      </c>
      <c r="I2" s="2">
        <v>5</v>
      </c>
    </row>
    <row r="3" spans="1:10" x14ac:dyDescent="0.3">
      <c r="C3" t="s">
        <v>22</v>
      </c>
    </row>
    <row r="4" spans="1:10" x14ac:dyDescent="0.3">
      <c r="E4" t="s">
        <v>26</v>
      </c>
      <c r="F4" s="3">
        <f>J1/5*F2</f>
        <v>291.53882352941179</v>
      </c>
    </row>
    <row r="6" spans="1:10" x14ac:dyDescent="0.3">
      <c r="E6" t="s">
        <v>27</v>
      </c>
    </row>
    <row r="7" spans="1:10" x14ac:dyDescent="0.3">
      <c r="E7" s="5" t="s">
        <v>28</v>
      </c>
    </row>
    <row r="8" spans="1:10" x14ac:dyDescent="0.3">
      <c r="E8" s="3">
        <f>(F4/J1*I2)/D2*(D1+D2)</f>
        <v>6.6</v>
      </c>
    </row>
    <row r="9" spans="1:10" x14ac:dyDescent="0.3">
      <c r="E9" s="5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Front</vt:lpstr>
      <vt:lpstr>Right</vt:lpstr>
      <vt:lpstr>Left</vt:lpstr>
      <vt:lpstr>Speedregler</vt:lpstr>
      <vt:lpstr>Spannungsteiler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 Philipp</dc:creator>
  <cp:lastModifiedBy>Jahn Philipp</cp:lastModifiedBy>
  <dcterms:created xsi:type="dcterms:W3CDTF">2024-03-04T15:12:57Z</dcterms:created>
  <dcterms:modified xsi:type="dcterms:W3CDTF">2025-11-03T17:05:59Z</dcterms:modified>
</cp:coreProperties>
</file>